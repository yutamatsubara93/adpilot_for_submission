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収益予測" sheetId="1" r:id="rId5"/>
    <sheet state="visible" name="ジャベリンボード" sheetId="2" r:id="rId6"/>
    <sheet state="visible" name="入稿フロー" sheetId="3" r:id="rId7"/>
    <sheet state="visible" name="要求・要件整理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tc={6ca264a8-11cf-4d10-b365-958834b0aa2b}</author>
    <author>tc={bf394d4d-e864-4a44-b2df-8b65337adeb7}</author>
  </authors>
  <commentList>
    <comment authorId="0" xr:uid="{6ca264a8-11cf-4d10-b365-958834b0aa2b}" ref="D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実データ
</t>
      </text>
    </comment>
    <comment authorId="1" xr:uid="{bf394d4d-e864-4a44-b2df-8b65337adeb7}" ref="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実データ
</t>
      </text>
    </comment>
  </commentList>
</comments>
</file>

<file path=xl/sharedStrings.xml><?xml version="1.0" encoding="utf-8"?>
<sst xmlns="http://schemas.openxmlformats.org/spreadsheetml/2006/main" count="372" uniqueCount="209">
  <si>
    <t>↓モデル</t>
  </si>
  <si>
    <t>$$\text{期待収益} = (N \times \text{B受注率} \times 5万) + (N \times \text{B受注率} \times \frac{1}{3} \times (\text{A初期費用} + \text{A月額}))$$</t>
  </si>
  <si>
    <t>SLG</t>
  </si>
  <si>
    <t>PLG</t>
  </si>
  <si>
    <t>ADPILOT</t>
  </si>
  <si>
    <t>入稿</t>
  </si>
  <si>
    <t>初期費用</t>
  </si>
  <si>
    <t>月額費用*受注翌月から発生と仮定</t>
  </si>
  <si>
    <t>5万~10万？</t>
  </si>
  <si>
    <t>受注率（受注／初回商談）</t>
  </si>
  <si>
    <t>リードタイム（初回商談～受注）* 日</t>
  </si>
  <si>
    <t>クロスセル率</t>
  </si>
  <si>
    <t>*複数媒体対応のアップセルは考慮しない前提で計算</t>
  </si>
  <si>
    <t>ADPILOTのみ</t>
  </si>
  <si>
    <t>経過月</t>
  </si>
  <si>
    <t>新規商談数</t>
  </si>
  <si>
    <t>まず1ヶ月商談15も担保できる？</t>
  </si>
  <si>
    <t>受注数</t>
  </si>
  <si>
    <t>累計受注数</t>
  </si>
  <si>
    <t>売上（初期費用）</t>
  </si>
  <si>
    <t>売上（月次費用）</t>
  </si>
  <si>
    <t>売上（合計）</t>
  </si>
  <si>
    <t>売上（累計）</t>
  </si>
  <si>
    <t>入稿→ADPILOTのアップセル加味</t>
  </si>
  <si>
    <t>受注数（入稿）</t>
  </si>
  <si>
    <t>受注数（ADPILOT)*3ヶ月</t>
  </si>
  <si>
    <t>累計受注数（入稿）</t>
  </si>
  <si>
    <t>累計受注数（ADPILOT)</t>
  </si>
  <si>
    <t>*3ヶ月目にクロスセル仮定</t>
  </si>
  <si>
    <t>合計</t>
  </si>
  <si>
    <t>差分→</t>
  </si>
  <si>
    <t>No</t>
  </si>
  <si>
    <t>属性</t>
  </si>
  <si>
    <t>規模</t>
  </si>
  <si>
    <t>ターゲットレベル
（リテラシーレベル）</t>
  </si>
  <si>
    <t>実態</t>
  </si>
  <si>
    <t>既存クライアント</t>
  </si>
  <si>
    <t>狙いたい（１→５）</t>
  </si>
  <si>
    <t>ボリューム数
（セグメントごと１００％）</t>
  </si>
  <si>
    <t>課題
 (Problem)</t>
  </si>
  <si>
    <t>解決策 
(Solution)</t>
  </si>
  <si>
    <t>前提条件
 (Assumption)</t>
  </si>
  <si>
    <t>検証方法 
(Validation Method)</t>
  </si>
  <si>
    <t>成功基準 
(Success Criteria)</t>
  </si>
  <si>
    <t>影響度
 (Impact)</t>
  </si>
  <si>
    <t>検証状況 
(Status)</t>
  </si>
  <si>
    <t>代理店</t>
  </si>
  <si>
    <t>大</t>
  </si>
  <si>
    <t>運用のルール化できる</t>
  </si>
  <si>
    <t>数千アカウントをミスなく回す「完全マニュアル型」の大規模工場</t>
  </si>
  <si>
    <t>(Sep)</t>
  </si>
  <si>
    <t>言語化できる</t>
  </si>
  <si>
    <t>高度な戦略と独自のロジックを武器にする「コンサル型」大手</t>
  </si>
  <si>
    <t>運用できる</t>
  </si>
  <si>
    <t>労働集約的に、マンパワーで大量の入稿を捌く「実務特化型」大手</t>
  </si>
  <si>
    <t>運用はよくわからない</t>
  </si>
  <si>
    <t>営業力が強すぎて、運用実務が追い付いていない「販売優先型」大手</t>
  </si>
  <si>
    <t>中</t>
  </si>
  <si>
    <t>組織拡大に向け、エースの知見を型化しようとする「脱・属人化」組織</t>
  </si>
  <si>
    <t>ワンスター</t>
  </si>
  <si>
    <t>独自の運用メソッドで差別化を図る「ナレッジ重視」の中堅代理店</t>
  </si>
  <si>
    <t>ブリーチ*、（ナハト）</t>
  </si>
  <si>
    <t>現場の職人たちが個々のスキルで案件を回す「現場主義」の中堅代理店</t>
  </si>
  <si>
    <t>制作やSEOから広がり、運用の専門家が不在のまま案件を受ける組織</t>
  </si>
  <si>
    <t>小</t>
  </si>
  <si>
    <t>ツールを駆使し、最小人数で利益を最大化する「テック系」代理店</t>
  </si>
  <si>
    <t>代表の強烈なノウハウを頼りに集客する「ブティック型」代理店</t>
  </si>
  <si>
    <t>アンカー、Full.</t>
  </si>
  <si>
    <t>複数のフリーランスが案件を分け合う「ギルド型」の運用チーム</t>
  </si>
  <si>
    <t>（Bitterrr）（マーケティングワン）</t>
  </si>
  <si>
    <t>知り合いの案件を頼まれ、管理画面を触る程度で苦戦する小規模組織</t>
  </si>
  <si>
    <t>インハウス</t>
  </si>
  <si>
    <t>厳しいコンプライアンスの下、厳格なSOPで運用する「統制型」大企業</t>
  </si>
  <si>
    <t>アルマード、</t>
  </si>
  <si>
    <t>代理店と対等に議論し、社内報告を完璧にこなす「戦略派」大企業</t>
  </si>
  <si>
    <t>（tenet）</t>
  </si>
  <si>
    <t>社内に広告運用専任チームを持ち、高速でPDCAを回す「自走型」大企業</t>
  </si>
  <si>
    <t>予算は巨額だが、担当者の入れ替わりが激しく経験者がいない組織</t>
  </si>
  <si>
    <t>（楽天）</t>
  </si>
  <si>
    <t>担当者の異動に備え、引き継ぎ可能な仕組みを急いで作る中堅企業</t>
  </si>
  <si>
    <t>成果の「なぜ」を突き詰め、媒体選定の軸を明確にしたい中堅企業</t>
  </si>
  <si>
    <t>(ラングレー）</t>
  </si>
  <si>
    <t>代理店手数料を削減するため、内製化に成功しつつある中堅企業</t>
  </si>
  <si>
    <t>宣伝担当が他業務と兼務しており、自動入札に任せきりの「放置型」組織</t>
  </si>
  <si>
    <t>1人マーケターが死守すべきルーティンを自動化・固定化した組織</t>
  </si>
  <si>
    <t>勝ち筋を必死に言語化し、事業を一段階伸ばそうとする「挑戦型」組織</t>
  </si>
  <si>
    <t>社長や創業メンバーが、自ら管理画面を叩いて集客する「直営型」組織</t>
  </si>
  <si>
    <t>（サンテミナ）</t>
  </si>
  <si>
    <t>広告を出してはいるが、効果測定すらままならない「手探り型」の組織</t>
  </si>
  <si>
    <t>■入稿手順</t>
  </si>
  <si>
    <t>＊手入稿</t>
  </si>
  <si>
    <t>*バルク入稿</t>
  </si>
  <si>
    <t>Meta</t>
  </si>
  <si>
    <t>1. 準備：テンプレート作成</t>
  </si>
  <si>
    <t>1. キャンペーン階層</t>
  </si>
  <si>
    <t>既存のキャンペーンをエクスポート、または空のテンプレートをDL</t>
  </si>
  <si>
    <t>管理画面で「+作成」をクリッ</t>
  </si>
  <si>
    <t>要件に合わせて列（カラム）を整理</t>
  </si>
  <si>
    <t>広告の目的を選択（売上・リード等）</t>
  </si>
  <si>
    <t>キャンペーンID、広告セットIDのルールを確認</t>
  </si>
  <si>
    <t>キャンペーン予算の最適化をオン</t>
  </si>
  <si>
    <t>2. 入力：データ作成</t>
  </si>
  <si>
    <t>入札戦略（最大数量など）を設定</t>
  </si>
  <si>
    <t>各階層（キャンペーン〜広告）の情報を1行ずつ入力</t>
  </si>
  <si>
    <t>2. 広告セット階層</t>
  </si>
  <si>
    <t>命名規則に沿って広告名・セット名を一括生成</t>
  </si>
  <si>
    <t>ターゲット・配信面の定義</t>
  </si>
  <si>
    <t>遷移先URLやトラッキングパラメータを数式で一括設定</t>
  </si>
  <si>
    <t>コンバージョン地点（サイト・LINE等）を選択</t>
  </si>
  <si>
    <t>ファイル形式をCSVまたはExcel（.xlsx）で保存</t>
  </si>
  <si>
    <t>日予算・配信スケジュールを設定</t>
  </si>
  <si>
    <r>
      <rPr>
        <rFont val="Arial"/>
        <color theme="1"/>
      </rPr>
      <t>すでに入稿されていない「画像」を選択するとき、名前と一致させないといけない</t>
    </r>
    <r>
      <rPr>
        <rFont val="Arial"/>
        <color rgb="FFFF0000"/>
      </rPr>
      <t xml:space="preserve">　*これが一致しないケースがあったりなかったり</t>
    </r>
  </si>
  <si>
    <t>配置設定（Advantage+推奨）</t>
  </si>
  <si>
    <t>3. 実行：インポート</t>
  </si>
  <si>
    <t>ターゲット設定（地域・年齢・関心）</t>
  </si>
  <si>
    <t>広告管理画面の「インポート」ボタンを選択</t>
  </si>
  <si>
    <t>アトリビューション設定（7日間クリック等）</t>
  </si>
  <si>
    <t>作成したファイルをアップロード</t>
  </si>
  <si>
    <t>3. 広告階層</t>
  </si>
  <si>
    <t>「プレビュー」画面で追加・更新される件数を確認</t>
  </si>
  <si>
    <t>クリエイティブの制作</t>
  </si>
  <si>
    <t>4. 検証：エラー修正・確認</t>
  </si>
  <si>
    <t>Facebook/Instagramページを選択</t>
  </si>
  <si>
    <t>赤色で表示される「エラー」項目を修正（形式・仕様ミス等）</t>
  </si>
  <si>
    <t>メディア追加（1:1 / 9:16サイズ）</t>
  </si>
  <si>
    <t>黄色で表示される「警告」項目を確認</t>
  </si>
  <si>
    <t>メインテキスト・見出し・説明を入力</t>
  </si>
  <si>
    <t>管理画面上でクリエイティブの表示崩れがないか最終チェック</t>
  </si>
  <si>
    <t>コールトゥアクション（CTA）を選択</t>
  </si>
  <si>
    <t>遷移先URL（LP）の設定</t>
  </si>
  <si>
    <t>■対象</t>
  </si>
  <si>
    <t>ディスプレイ広告</t>
  </si>
  <si>
    <t>Searchはスコープ対象外
∟Displayと比較して優先度低い</t>
  </si>
  <si>
    <t>■ビジネス要求</t>
  </si>
  <si>
    <t>■ユースケース</t>
  </si>
  <si>
    <t>項目</t>
  </si>
  <si>
    <t>詳細</t>
  </si>
  <si>
    <t>・毎日キャンペーン／アドセットを使い捨てで運用している → 複製作業が毎日発生している。</t>
  </si>
  <si>
    <t>運用コストの削減</t>
  </si>
  <si>
    <t>媒体ごとにバラバラな入稿作業を一本化して、工数をさげたい</t>
  </si>
  <si>
    <t>・それに伴いパラメータの差し替え作業も発生している</t>
  </si>
  <si>
    <t>人的ミスの防止</t>
  </si>
  <si>
    <t>手動作業によるミスをなくしたい</t>
  </si>
  <si>
    <t>・Metaでも探索と拡張みたいなトレンドで、勝ったアドセットを複製している</t>
  </si>
  <si>
    <t>戦略的業務へのシフト</t>
  </si>
  <si>
    <t>入稿はノンコア領域の作業であるため、空いた時間をより戦略的なタスクに振りたい</t>
  </si>
  <si>
    <t>・パラメータ管理を案件別で実行するのが大変、管理ルールをEXCELで組むところからっ実施</t>
  </si>
  <si>
    <t>使いやすいUIUXで実行したい</t>
  </si>
  <si>
    <t>画質、導線、を質の高いもので実行したい</t>
  </si>
  <si>
    <t>・キャンペーン／アドセット／アド複製とかしたときの名前の編集がだるい</t>
  </si>
  <si>
    <t>複数媒体対応してほしい</t>
  </si>
  <si>
    <t>Google,Yahoo!,Meta等の網羅性を上げたい</t>
  </si>
  <si>
    <t>・仮説）入稿エラー起きたときの原因調査</t>
  </si>
  <si>
    <t>複数フォーマット対応してほしい</t>
  </si>
  <si>
    <t>静止画,動画,テキスト広告,カルーセルの網羅性を上げたい</t>
  </si>
  <si>
    <t>・媒体ごとに異なるFMTでBulkファイルを更新する必要がある</t>
  </si>
  <si>
    <t>■提供する価値</t>
  </si>
  <si>
    <t>・媒体横断で入稿することで、Adの共有や設定の共有による負担削減</t>
  </si>
  <si>
    <t>・洗練されたUIUXでの入力負担の削減</t>
  </si>
  <si>
    <t>■機能要求</t>
  </si>
  <si>
    <t>対応するビジネス要求</t>
  </si>
  <si>
    <t>中項目 (Middle Item)</t>
  </si>
  <si>
    <t>小項目 (Small Item)</t>
  </si>
  <si>
    <t>項目 (Original Item)</t>
  </si>
  <si>
    <t>ユーザー目線の優先度</t>
  </si>
  <si>
    <t>入稿機能</t>
  </si>
  <si>
    <t>基本操作</t>
  </si>
  <si>
    <t>複数対象を入稿するときに一括入稿したい</t>
  </si>
  <si>
    <t>高</t>
  </si>
  <si>
    <t>データ検証</t>
  </si>
  <si>
    <t>パラメータルールに則った計測ツールURLが入稿される（パラメータが切れない）</t>
  </si>
  <si>
    <t>運用コストの削減, 複数媒体対応してほしい, 使いやすいUIUXで実行したい</t>
  </si>
  <si>
    <t>媒体連携</t>
  </si>
  <si>
    <t>Metaを対応したい</t>
  </si>
  <si>
    <t>Google（デマジェン）を対応したい</t>
  </si>
  <si>
    <t>運用コストの削減, 複数媒体対応してほしい</t>
  </si>
  <si>
    <t>LINE/YDAを対応したい</t>
  </si>
  <si>
    <t>Tiktokを対応したい</t>
  </si>
  <si>
    <t>その他媒体（X,SmartNews）を対応したい</t>
  </si>
  <si>
    <t>低</t>
  </si>
  <si>
    <t>通知・アラート</t>
  </si>
  <si>
    <t>エラーになったとき通知される</t>
  </si>
  <si>
    <t>入稿規定に引っかかった場合、アラートされる</t>
  </si>
  <si>
    <t>履歴管理</t>
  </si>
  <si>
    <t>入稿の送信履歴がわかる</t>
  </si>
  <si>
    <t>階層管理</t>
  </si>
  <si>
    <t>キャンペーン操作</t>
  </si>
  <si>
    <t>キャンペーンの新規追加できる</t>
  </si>
  <si>
    <t>キャンペーンの複製できる</t>
  </si>
  <si>
    <t>キャンペーンの編集できる</t>
  </si>
  <si>
    <t>広告グループ操作</t>
  </si>
  <si>
    <t>広告グループの新規追加できる</t>
  </si>
  <si>
    <t>広告グループの複製できる</t>
  </si>
  <si>
    <t>広告グループの編集できる</t>
  </si>
  <si>
    <t>広告・素材操作</t>
  </si>
  <si>
    <t>広告の新規追加できる</t>
  </si>
  <si>
    <t>広告の複製できる</t>
  </si>
  <si>
    <t>広告の編集できる</t>
  </si>
  <si>
    <t>クリエイティブ管理</t>
  </si>
  <si>
    <t>フォーマット対応</t>
  </si>
  <si>
    <t>静止画に対応する</t>
  </si>
  <si>
    <t>動画に対応する</t>
  </si>
  <si>
    <t>カルーセルに対応する</t>
  </si>
  <si>
    <t>(Meta)PACにも対応したい</t>
  </si>
  <si>
    <t>クリエイティブが見切れたり画素が荒くなったりしない</t>
  </si>
  <si>
    <t>アセット管理</t>
  </si>
  <si>
    <t>テキスト、画像、URLを一元管理したい</t>
  </si>
  <si>
    <t>入稿後の整合性チェック</t>
  </si>
  <si>
    <t>入稿前後の整合性チェックを実行する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</si>
</sst>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3BEB9"/>
        <bgColor rgb="FFF3BEB9"/>
      </patternFill>
    </fill>
    <fill>
      <patternFill patternType="solid">
        <fgColor rgb="FFF6D0CD"/>
        <bgColor rgb="FFF6D0CD"/>
      </patternFill>
    </fill>
    <fill>
      <patternFill patternType="solid">
        <fgColor rgb="FFE67C73"/>
        <bgColor rgb="FFE67C73"/>
      </patternFill>
    </fill>
    <fill>
      <patternFill patternType="solid">
        <fgColor rgb="FFE98880"/>
        <bgColor rgb="FFE98880"/>
      </patternFill>
    </fill>
    <fill>
      <patternFill patternType="solid">
        <fgColor rgb="FFF2B8B3"/>
        <bgColor rgb="FFF2B8B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BE8E6"/>
        <bgColor rgb="FFFBE8E6"/>
      </patternFill>
    </fill>
    <fill>
      <patternFill patternType="solid">
        <fgColor rgb="FFEDA09A"/>
        <bgColor rgb="FFEDA09A"/>
      </patternFill>
    </fill>
    <fill>
      <patternFill patternType="solid">
        <fgColor rgb="FFED9D96"/>
        <bgColor rgb="FFED9D96"/>
      </patternFill>
    </fill>
    <fill>
      <patternFill patternType="solid">
        <fgColor rgb="FFEB948D"/>
        <bgColor rgb="FFEB948D"/>
      </patternFill>
    </fill>
    <fill>
      <patternFill patternType="solid">
        <fgColor rgb="FFFDF4F3"/>
        <bgColor rgb="FFFDF4F3"/>
      </patternFill>
    </fill>
    <fill>
      <patternFill patternType="solid">
        <fgColor rgb="FFFFFDFD"/>
        <bgColor rgb="FFFFFDFD"/>
      </patternFill>
    </fill>
    <fill>
      <patternFill patternType="solid">
        <fgColor rgb="FFF4C4C0"/>
        <bgColor rgb="FFF4C4C0"/>
      </patternFill>
    </fill>
    <fill>
      <patternFill patternType="solid">
        <fgColor rgb="FFF9DFDC"/>
        <bgColor rgb="FFF9DFDC"/>
      </patternFill>
    </fill>
    <fill>
      <patternFill patternType="solid">
        <fgColor rgb="FFF5C6C2"/>
        <bgColor rgb="FFF5C6C2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0AFA9"/>
        <bgColor rgb="FFF0AFA9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3" xfId="0" applyFont="1" applyNumberFormat="1"/>
    <xf borderId="0" fillId="0" fontId="1" numFmtId="1" xfId="0" applyAlignment="1" applyFont="1" applyNumberFormat="1">
      <alignment readingOrder="0"/>
    </xf>
    <xf borderId="0" fillId="0" fontId="1" numFmtId="3" xfId="0" applyFont="1" applyNumberFormat="1"/>
    <xf borderId="1" fillId="2" fontId="2" numFmtId="0" xfId="0" applyAlignment="1" applyBorder="1" applyFill="1" applyFont="1">
      <alignment vertical="bottom"/>
    </xf>
    <xf borderId="1" fillId="2" fontId="2" numFmtId="0" xfId="0" applyAlignment="1" applyBorder="1" applyFont="1">
      <alignment readingOrder="0" vertical="bottom"/>
    </xf>
    <xf borderId="1" fillId="2" fontId="1" numFmtId="0" xfId="0" applyAlignment="1" applyBorder="1" applyFont="1">
      <alignment readingOrder="0"/>
    </xf>
    <xf borderId="1" fillId="3" fontId="2" numFmtId="0" xfId="0" applyAlignment="1" applyBorder="1" applyFill="1" applyFont="1">
      <alignment horizontal="right" vertical="bottom"/>
    </xf>
    <xf borderId="1" fillId="3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4" fontId="2" numFmtId="0" xfId="0" applyAlignment="1" applyBorder="1" applyFill="1" applyFont="1">
      <alignment horizontal="right" vertical="bottom"/>
    </xf>
    <xf borderId="1" fillId="5" fontId="2" numFmtId="9" xfId="0" applyAlignment="1" applyBorder="1" applyFill="1" applyFont="1" applyNumberFormat="1">
      <alignment horizontal="right" vertical="bottom"/>
    </xf>
    <xf borderId="1" fillId="0" fontId="1" numFmtId="0" xfId="0" applyAlignment="1" applyBorder="1" applyFont="1">
      <alignment shrinkToFit="0" wrapText="0"/>
    </xf>
    <xf borderId="1" fillId="6" fontId="2" numFmtId="0" xfId="0" applyAlignment="1" applyBorder="1" applyFill="1" applyFont="1">
      <alignment horizontal="right" vertical="bottom"/>
    </xf>
    <xf borderId="1" fillId="7" fontId="2" numFmtId="9" xfId="0" applyAlignment="1" applyBorder="1" applyFill="1" applyFont="1" applyNumberFormat="1">
      <alignment horizontal="right" vertical="bottom"/>
    </xf>
    <xf borderId="1" fillId="8" fontId="2" numFmtId="9" xfId="0" applyAlignment="1" applyBorder="1" applyFill="1" applyFont="1" applyNumberFormat="1">
      <alignment horizontal="right" vertical="bottom"/>
    </xf>
    <xf borderId="1" fillId="9" fontId="2" numFmtId="0" xfId="0" applyAlignment="1" applyBorder="1" applyFill="1" applyFont="1">
      <alignment horizontal="right" vertical="bottom"/>
    </xf>
    <xf borderId="1" fillId="9" fontId="2" numFmtId="9" xfId="0" applyAlignment="1" applyBorder="1" applyFont="1" applyNumberFormat="1">
      <alignment horizontal="right" vertical="bottom"/>
    </xf>
    <xf borderId="1" fillId="10" fontId="2" numFmtId="0" xfId="0" applyAlignment="1" applyBorder="1" applyFill="1" applyFont="1">
      <alignment horizontal="right" vertical="bottom"/>
    </xf>
    <xf borderId="1" fillId="10" fontId="2" numFmtId="0" xfId="0" applyAlignment="1" applyBorder="1" applyFont="1">
      <alignment vertical="bottom"/>
    </xf>
    <xf borderId="1" fillId="11" fontId="2" numFmtId="9" xfId="0" applyAlignment="1" applyBorder="1" applyFill="1" applyFont="1" applyNumberFormat="1">
      <alignment horizontal="right" vertical="bottom"/>
    </xf>
    <xf borderId="1" fillId="12" fontId="2" numFmtId="9" xfId="0" applyAlignment="1" applyBorder="1" applyFill="1" applyFont="1" applyNumberFormat="1">
      <alignment horizontal="right" vertical="bottom"/>
    </xf>
    <xf borderId="1" fillId="13" fontId="2" numFmtId="0" xfId="0" applyAlignment="1" applyBorder="1" applyFill="1" applyFont="1">
      <alignment horizontal="right" vertical="bottom"/>
    </xf>
    <xf borderId="1" fillId="14" fontId="2" numFmtId="9" xfId="0" applyAlignment="1" applyBorder="1" applyFill="1" applyFont="1" applyNumberFormat="1">
      <alignment horizontal="right" vertical="bottom"/>
    </xf>
    <xf borderId="1" fillId="15" fontId="2" numFmtId="9" xfId="0" applyAlignment="1" applyBorder="1" applyFill="1" applyFont="1" applyNumberFormat="1">
      <alignment horizontal="right" vertical="bottom"/>
    </xf>
    <xf borderId="1" fillId="2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" fillId="13" fontId="2" numFmtId="0" xfId="0" applyAlignment="1" applyBorder="1" applyFont="1">
      <alignment horizontal="right" vertical="bottom"/>
    </xf>
    <xf borderId="1" fillId="16" fontId="2" numFmtId="9" xfId="0" applyAlignment="1" applyBorder="1" applyFill="1" applyFont="1" applyNumberFormat="1">
      <alignment horizontal="right" vertical="bottom"/>
    </xf>
    <xf borderId="1" fillId="17" fontId="2" numFmtId="9" xfId="0" applyAlignment="1" applyBorder="1" applyFill="1" applyFont="1" applyNumberFormat="1">
      <alignment horizontal="right" vertical="bottom"/>
    </xf>
    <xf borderId="1" fillId="18" fontId="2" numFmtId="0" xfId="0" applyAlignment="1" applyBorder="1" applyFill="1" applyFont="1">
      <alignment horizontal="right" vertical="bottom"/>
    </xf>
    <xf borderId="1" fillId="9" fontId="2" numFmtId="0" xfId="0" applyAlignment="1" applyBorder="1" applyFont="1">
      <alignment horizontal="right" vertical="bottom"/>
    </xf>
    <xf borderId="1" fillId="19" fontId="2" numFmtId="9" xfId="0" applyAlignment="1" applyBorder="1" applyFill="1" applyFont="1" applyNumberFormat="1">
      <alignment horizontal="right" vertical="bottom"/>
    </xf>
    <xf borderId="1" fillId="20" fontId="2" numFmtId="0" xfId="0" applyAlignment="1" applyBorder="1" applyFill="1" applyFont="1">
      <alignment horizontal="right" vertical="bottom"/>
    </xf>
    <xf borderId="1" fillId="20" fontId="2" numFmtId="0" xfId="0" applyAlignment="1" applyBorder="1" applyFont="1">
      <alignment vertical="bottom"/>
    </xf>
    <xf borderId="1" fillId="6" fontId="2" numFmtId="0" xfId="0" applyAlignment="1" applyBorder="1" applyFont="1">
      <alignment horizontal="right" vertical="bottom"/>
    </xf>
    <xf borderId="1" fillId="21" fontId="2" numFmtId="0" xfId="0" applyAlignment="1" applyBorder="1" applyFill="1" applyFont="1">
      <alignment horizontal="right" vertical="bottom"/>
    </xf>
    <xf borderId="1" fillId="21" fontId="2" numFmtId="0" xfId="0" applyAlignment="1" applyBorder="1" applyFont="1">
      <alignment vertical="bottom"/>
    </xf>
    <xf borderId="1" fillId="4" fontId="2" numFmtId="0" xfId="0" applyAlignment="1" applyBorder="1" applyFont="1">
      <alignment horizontal="right" vertical="bottom"/>
    </xf>
    <xf borderId="1" fillId="22" fontId="2" numFmtId="0" xfId="0" applyAlignment="1" applyBorder="1" applyFill="1" applyFont="1">
      <alignment horizontal="right" vertical="bottom"/>
    </xf>
    <xf borderId="1" fillId="22" fontId="2" numFmtId="0" xfId="0" applyAlignment="1" applyBorder="1" applyFont="1">
      <alignment vertical="bottom"/>
    </xf>
    <xf borderId="1" fillId="23" fontId="2" numFmtId="0" xfId="0" applyAlignment="1" applyBorder="1" applyFill="1" applyFont="1">
      <alignment vertical="bottom"/>
    </xf>
    <xf borderId="1" fillId="24" fontId="2" numFmtId="9" xfId="0" applyAlignment="1" applyBorder="1" applyFill="1" applyFont="1" applyNumberFormat="1">
      <alignment horizontal="right" vertical="bottom"/>
    </xf>
    <xf borderId="1" fillId="6" fontId="2" numFmtId="9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4">
    <tableStyle count="3" pivot="0" name="収益予測-style">
      <tableStyleElement dxfId="1" type="headerRow"/>
      <tableStyleElement dxfId="2" type="firstRowStripe"/>
      <tableStyleElement dxfId="3" type="secondRowStripe"/>
    </tableStyle>
    <tableStyle count="3" pivot="0" name="収益予測-style 2">
      <tableStyleElement dxfId="4" type="headerRow"/>
      <tableStyleElement dxfId="2" type="firstRowStripe"/>
      <tableStyleElement dxfId="5" type="secondRowStripe"/>
    </tableStyle>
    <tableStyle count="3" pivot="0" name="要求・要件整理-style">
      <tableStyleElement dxfId="6" type="headerRow"/>
      <tableStyleElement dxfId="2" type="firstRowStripe"/>
      <tableStyleElement dxfId="7" type="secondRowStripe"/>
    </tableStyle>
    <tableStyle count="3" pivot="0" name="要求・要件整理-style 2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篠原将太" id="{ad160c56-0e59-40b4-a625-2a04d558f170}" providerId="google-sheets"/>
</x18tc:personList>
</file>

<file path=xl/tables/table1.xml><?xml version="1.0" encoding="utf-8"?>
<table xmlns="http://schemas.openxmlformats.org/spreadsheetml/2006/main" headerRowCount="0" ref="B18:O25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収益予測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B28:O45" displayName="Table_2" name="Table_2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収益予測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B5:E11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要求・要件整理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B19:G45" displayName="Table_4" name="Table_4" id="4">
  <tableColumns count="6">
    <tableColumn name="No" id="1"/>
    <tableColumn name="対応するビジネス要求" id="2"/>
    <tableColumn name="中項目 (Middle Item)" id="3"/>
    <tableColumn name="小項目 (Small Item)" id="4"/>
    <tableColumn name="項目 (Original Item)" id="5"/>
    <tableColumn name="ユーザー目線の優先度" id="6"/>
  </tableColumns>
  <tableStyleInfo name="要求・要件整理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3" dT="2026-03-26T06:32:35.00" personId="{ad160c56-0e59-40b4-a625-2a04d558f170}" id="{bf394d4d-e864-4a44-b2df-8b65337adeb7}" done="0">
    <x18tc:text xml:space="preserve">実データ</x18tc:text>
  </x18tc:threadedComment>
  <x18tc:threadedComment ref="D12" dT="2026-03-26T06:32:25.00" personId="{ad160c56-0e59-40b4-a625-2a04d558f170}" id="{6ca264a8-11cf-4d10-b365-958834b0aa2b}" done="0">
    <x18tc:text xml:space="preserve">実データ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9" Type="http://schemas.openxmlformats.org/officeDocument/2006/relationships/table" Target="../tables/table2.xml"/><Relationship Id="rId5" Type="http://schemas.openxmlformats.org/officeDocument/2006/relationships/vmlDrawing" Target="../drawings/vmlDrawing1.v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2.75"/>
    <col customWidth="1" min="3" max="3" width="29.88"/>
  </cols>
  <sheetData>
    <row r="3">
      <c r="C3" s="1" t="s">
        <v>0</v>
      </c>
    </row>
    <row r="4">
      <c r="C4" s="1" t="s">
        <v>1</v>
      </c>
    </row>
    <row r="8">
      <c r="D8" s="1" t="s">
        <v>2</v>
      </c>
      <c r="E8" s="1" t="s">
        <v>3</v>
      </c>
    </row>
    <row r="9">
      <c r="D9" s="1" t="s">
        <v>4</v>
      </c>
      <c r="E9" s="1" t="s">
        <v>5</v>
      </c>
    </row>
    <row r="10">
      <c r="C10" s="1" t="s">
        <v>6</v>
      </c>
      <c r="D10" s="2">
        <v>300000.0</v>
      </c>
      <c r="E10" s="1">
        <v>0.0</v>
      </c>
    </row>
    <row r="11">
      <c r="C11" s="1" t="s">
        <v>7</v>
      </c>
      <c r="D11" s="2">
        <v>200000.0</v>
      </c>
      <c r="E11" s="2">
        <v>50000.0</v>
      </c>
      <c r="F11" s="1" t="s">
        <v>8</v>
      </c>
    </row>
    <row r="12">
      <c r="C12" s="1" t="s">
        <v>9</v>
      </c>
      <c r="D12" s="3">
        <v>0.13</v>
      </c>
      <c r="E12" s="3">
        <v>0.4</v>
      </c>
    </row>
    <row r="13">
      <c r="C13" s="1" t="s">
        <v>10</v>
      </c>
      <c r="D13" s="1">
        <v>80.0</v>
      </c>
      <c r="E13" s="1">
        <v>30.0</v>
      </c>
    </row>
    <row r="14">
      <c r="C14" s="1" t="s">
        <v>11</v>
      </c>
      <c r="D14" s="4">
        <v>0.33</v>
      </c>
    </row>
    <row r="16">
      <c r="B16" s="1" t="s">
        <v>12</v>
      </c>
    </row>
    <row r="17">
      <c r="B17" s="1" t="s">
        <v>13</v>
      </c>
    </row>
    <row r="18">
      <c r="B18" s="5" t="s">
        <v>14</v>
      </c>
      <c r="C18" s="6"/>
      <c r="D18" s="5">
        <v>1.0</v>
      </c>
      <c r="E18" s="5">
        <v>2.0</v>
      </c>
      <c r="F18" s="5">
        <v>3.0</v>
      </c>
      <c r="G18" s="5">
        <v>4.0</v>
      </c>
      <c r="H18" s="5">
        <v>5.0</v>
      </c>
      <c r="I18" s="5">
        <v>6.0</v>
      </c>
      <c r="J18" s="5">
        <v>7.0</v>
      </c>
      <c r="K18" s="5">
        <v>8.0</v>
      </c>
      <c r="L18" s="5">
        <v>9.0</v>
      </c>
      <c r="M18" s="5">
        <v>10.0</v>
      </c>
      <c r="N18" s="5">
        <v>11.0</v>
      </c>
      <c r="O18" s="5">
        <v>12.0</v>
      </c>
    </row>
    <row r="19">
      <c r="B19" s="5" t="s">
        <v>15</v>
      </c>
      <c r="C19" s="6"/>
      <c r="D19" s="5">
        <v>15.0</v>
      </c>
      <c r="E19" s="5">
        <v>15.0</v>
      </c>
      <c r="F19" s="5">
        <v>15.0</v>
      </c>
      <c r="G19" s="5">
        <v>15.0</v>
      </c>
      <c r="H19" s="5">
        <v>15.0</v>
      </c>
      <c r="I19" s="5">
        <v>15.0</v>
      </c>
      <c r="J19" s="5">
        <v>15.0</v>
      </c>
      <c r="K19" s="5">
        <v>15.0</v>
      </c>
      <c r="L19" s="5">
        <v>15.0</v>
      </c>
      <c r="M19" s="5">
        <v>15.0</v>
      </c>
      <c r="N19" s="5">
        <v>15.0</v>
      </c>
      <c r="O19" s="5">
        <v>15.0</v>
      </c>
      <c r="P19" s="1" t="s">
        <v>16</v>
      </c>
    </row>
    <row r="20">
      <c r="B20" s="5" t="s">
        <v>17</v>
      </c>
      <c r="C20" s="6"/>
      <c r="D20" s="6"/>
      <c r="E20" s="6"/>
      <c r="F20" s="6"/>
      <c r="G20" s="5">
        <v>2.0</v>
      </c>
      <c r="H20" s="5">
        <v>2.0</v>
      </c>
      <c r="I20" s="5">
        <v>2.0</v>
      </c>
      <c r="J20" s="5">
        <v>2.0</v>
      </c>
      <c r="K20" s="5">
        <v>2.0</v>
      </c>
      <c r="L20" s="5">
        <v>2.0</v>
      </c>
      <c r="M20" s="5">
        <v>2.0</v>
      </c>
      <c r="N20" s="5">
        <v>2.0</v>
      </c>
      <c r="O20" s="5">
        <v>2.0</v>
      </c>
    </row>
    <row r="21">
      <c r="B21" s="5" t="s">
        <v>18</v>
      </c>
      <c r="C21" s="6"/>
      <c r="D21" s="6"/>
      <c r="E21" s="6"/>
      <c r="F21" s="6"/>
      <c r="G21" s="6">
        <f>G20</f>
        <v>2</v>
      </c>
      <c r="H21" s="6">
        <f t="shared" ref="H21:O21" si="1">H20+G21</f>
        <v>4</v>
      </c>
      <c r="I21" s="6">
        <f t="shared" si="1"/>
        <v>6</v>
      </c>
      <c r="J21" s="6">
        <f t="shared" si="1"/>
        <v>8</v>
      </c>
      <c r="K21" s="6">
        <f t="shared" si="1"/>
        <v>10</v>
      </c>
      <c r="L21" s="6">
        <f t="shared" si="1"/>
        <v>12</v>
      </c>
      <c r="M21" s="6">
        <f t="shared" si="1"/>
        <v>14</v>
      </c>
      <c r="N21" s="6">
        <f t="shared" si="1"/>
        <v>16</v>
      </c>
      <c r="O21" s="6">
        <f t="shared" si="1"/>
        <v>18</v>
      </c>
    </row>
    <row r="22">
      <c r="B22" s="5" t="s">
        <v>19</v>
      </c>
      <c r="C22" s="6"/>
      <c r="D22" s="6"/>
      <c r="E22" s="6"/>
      <c r="F22" s="6"/>
      <c r="G22" s="7">
        <f t="shared" ref="G22:O22" si="2">$D$10*G20</f>
        <v>600000</v>
      </c>
      <c r="H22" s="7">
        <f t="shared" si="2"/>
        <v>600000</v>
      </c>
      <c r="I22" s="7">
        <f t="shared" si="2"/>
        <v>600000</v>
      </c>
      <c r="J22" s="7">
        <f t="shared" si="2"/>
        <v>600000</v>
      </c>
      <c r="K22" s="7">
        <f t="shared" si="2"/>
        <v>600000</v>
      </c>
      <c r="L22" s="7">
        <f t="shared" si="2"/>
        <v>600000</v>
      </c>
      <c r="M22" s="7">
        <f t="shared" si="2"/>
        <v>600000</v>
      </c>
      <c r="N22" s="7">
        <f t="shared" si="2"/>
        <v>600000</v>
      </c>
      <c r="O22" s="7">
        <f t="shared" si="2"/>
        <v>600000</v>
      </c>
    </row>
    <row r="23">
      <c r="B23" s="5" t="s">
        <v>20</v>
      </c>
      <c r="C23" s="6"/>
      <c r="D23" s="6"/>
      <c r="E23" s="6"/>
      <c r="F23" s="6"/>
      <c r="G23" s="7"/>
      <c r="H23" s="7">
        <f t="shared" ref="H23:O23" si="3">G21*$D$11</f>
        <v>400000</v>
      </c>
      <c r="I23" s="7">
        <f t="shared" si="3"/>
        <v>800000</v>
      </c>
      <c r="J23" s="7">
        <f t="shared" si="3"/>
        <v>1200000</v>
      </c>
      <c r="K23" s="7">
        <f t="shared" si="3"/>
        <v>1600000</v>
      </c>
      <c r="L23" s="7">
        <f t="shared" si="3"/>
        <v>2000000</v>
      </c>
      <c r="M23" s="7">
        <f t="shared" si="3"/>
        <v>2400000</v>
      </c>
      <c r="N23" s="7">
        <f t="shared" si="3"/>
        <v>2800000</v>
      </c>
      <c r="O23" s="7">
        <f t="shared" si="3"/>
        <v>3200000</v>
      </c>
    </row>
    <row r="24">
      <c r="B24" s="5" t="s">
        <v>21</v>
      </c>
      <c r="C24" s="6"/>
      <c r="D24" s="6"/>
      <c r="E24" s="6"/>
      <c r="F24" s="6"/>
      <c r="G24" s="7">
        <f t="shared" ref="G24:O24" si="4">G22+G23</f>
        <v>600000</v>
      </c>
      <c r="H24" s="7">
        <f t="shared" si="4"/>
        <v>1000000</v>
      </c>
      <c r="I24" s="7">
        <f t="shared" si="4"/>
        <v>1400000</v>
      </c>
      <c r="J24" s="7">
        <f t="shared" si="4"/>
        <v>1800000</v>
      </c>
      <c r="K24" s="7">
        <f t="shared" si="4"/>
        <v>2200000</v>
      </c>
      <c r="L24" s="7">
        <f t="shared" si="4"/>
        <v>2600000</v>
      </c>
      <c r="M24" s="7">
        <f t="shared" si="4"/>
        <v>3000000</v>
      </c>
      <c r="N24" s="7">
        <f t="shared" si="4"/>
        <v>3400000</v>
      </c>
      <c r="O24" s="7">
        <f t="shared" si="4"/>
        <v>3800000</v>
      </c>
    </row>
    <row r="25">
      <c r="B25" s="5" t="s">
        <v>22</v>
      </c>
      <c r="C25" s="6"/>
      <c r="D25" s="6"/>
      <c r="E25" s="6"/>
      <c r="F25" s="6"/>
      <c r="G25" s="7">
        <f>G24</f>
        <v>600000</v>
      </c>
      <c r="H25" s="7">
        <f t="shared" ref="H25:O25" si="5">G25+H24</f>
        <v>1600000</v>
      </c>
      <c r="I25" s="7">
        <f t="shared" si="5"/>
        <v>3000000</v>
      </c>
      <c r="J25" s="7">
        <f t="shared" si="5"/>
        <v>4800000</v>
      </c>
      <c r="K25" s="7">
        <f t="shared" si="5"/>
        <v>7000000</v>
      </c>
      <c r="L25" s="7">
        <f t="shared" si="5"/>
        <v>9600000</v>
      </c>
      <c r="M25" s="7">
        <f t="shared" si="5"/>
        <v>12600000</v>
      </c>
      <c r="N25" s="7">
        <f t="shared" si="5"/>
        <v>16000000</v>
      </c>
      <c r="O25" s="7">
        <f t="shared" si="5"/>
        <v>19800000</v>
      </c>
    </row>
    <row r="27">
      <c r="B27" s="1" t="s">
        <v>23</v>
      </c>
    </row>
    <row r="28">
      <c r="B28" s="5" t="s">
        <v>14</v>
      </c>
      <c r="C28" s="6"/>
      <c r="D28" s="5">
        <v>1.0</v>
      </c>
      <c r="E28" s="5">
        <v>2.0</v>
      </c>
      <c r="F28" s="5">
        <v>3.0</v>
      </c>
      <c r="G28" s="5">
        <v>4.0</v>
      </c>
      <c r="H28" s="5">
        <v>5.0</v>
      </c>
      <c r="I28" s="5">
        <v>6.0</v>
      </c>
      <c r="J28" s="5">
        <v>7.0</v>
      </c>
      <c r="K28" s="5">
        <v>8.0</v>
      </c>
      <c r="L28" s="5">
        <v>9.0</v>
      </c>
      <c r="M28" s="5">
        <v>10.0</v>
      </c>
      <c r="N28" s="5">
        <v>11.0</v>
      </c>
      <c r="O28" s="5">
        <v>12.0</v>
      </c>
    </row>
    <row r="29">
      <c r="B29" s="5" t="s">
        <v>15</v>
      </c>
      <c r="C29" s="6"/>
      <c r="D29" s="5">
        <v>15.0</v>
      </c>
      <c r="E29" s="5">
        <v>15.0</v>
      </c>
      <c r="F29" s="5">
        <v>15.0</v>
      </c>
      <c r="G29" s="5">
        <v>15.0</v>
      </c>
      <c r="H29" s="5">
        <v>15.0</v>
      </c>
      <c r="I29" s="5">
        <v>15.0</v>
      </c>
      <c r="J29" s="5">
        <v>15.0</v>
      </c>
      <c r="K29" s="5">
        <v>15.0</v>
      </c>
      <c r="L29" s="5">
        <v>15.0</v>
      </c>
      <c r="M29" s="5">
        <v>15.0</v>
      </c>
      <c r="N29" s="5">
        <v>15.0</v>
      </c>
      <c r="O29" s="5">
        <v>15.0</v>
      </c>
    </row>
    <row r="30">
      <c r="B30" s="5" t="s">
        <v>24</v>
      </c>
      <c r="C30" s="6"/>
      <c r="D30" s="6"/>
      <c r="E30" s="5">
        <f t="shared" ref="E30:O30" si="6">D29*$E$12</f>
        <v>6</v>
      </c>
      <c r="F30" s="5">
        <f t="shared" si="6"/>
        <v>6</v>
      </c>
      <c r="G30" s="5">
        <f t="shared" si="6"/>
        <v>6</v>
      </c>
      <c r="H30" s="5">
        <f t="shared" si="6"/>
        <v>6</v>
      </c>
      <c r="I30" s="5">
        <f t="shared" si="6"/>
        <v>6</v>
      </c>
      <c r="J30" s="5">
        <f t="shared" si="6"/>
        <v>6</v>
      </c>
      <c r="K30" s="5">
        <f t="shared" si="6"/>
        <v>6</v>
      </c>
      <c r="L30" s="5">
        <f t="shared" si="6"/>
        <v>6</v>
      </c>
      <c r="M30" s="5">
        <f t="shared" si="6"/>
        <v>6</v>
      </c>
      <c r="N30" s="5">
        <f t="shared" si="6"/>
        <v>6</v>
      </c>
      <c r="O30" s="5">
        <f t="shared" si="6"/>
        <v>6</v>
      </c>
    </row>
    <row r="31">
      <c r="B31" s="5" t="s">
        <v>25</v>
      </c>
      <c r="C31" s="6"/>
      <c r="D31" s="6"/>
      <c r="E31" s="6"/>
      <c r="F31" s="6"/>
      <c r="G31" s="6"/>
      <c r="H31" s="8">
        <v>2.0</v>
      </c>
      <c r="I31" s="8">
        <v>2.0</v>
      </c>
      <c r="J31" s="8">
        <v>2.0</v>
      </c>
      <c r="K31" s="8">
        <v>2.0</v>
      </c>
      <c r="L31" s="8">
        <v>2.0</v>
      </c>
      <c r="M31" s="8">
        <v>2.0</v>
      </c>
      <c r="N31" s="8">
        <v>2.0</v>
      </c>
      <c r="O31" s="8">
        <v>2.0</v>
      </c>
    </row>
    <row r="32">
      <c r="B32" s="5" t="s">
        <v>26</v>
      </c>
      <c r="C32" s="6"/>
      <c r="D32" s="6"/>
      <c r="E32" s="6">
        <f>E30</f>
        <v>6</v>
      </c>
      <c r="F32" s="6">
        <f t="shared" ref="F32:O32" si="7">E32+F30</f>
        <v>12</v>
      </c>
      <c r="G32" s="6">
        <f t="shared" si="7"/>
        <v>18</v>
      </c>
      <c r="H32" s="6">
        <f t="shared" si="7"/>
        <v>24</v>
      </c>
      <c r="I32" s="6">
        <f t="shared" si="7"/>
        <v>30</v>
      </c>
      <c r="J32" s="6">
        <f t="shared" si="7"/>
        <v>36</v>
      </c>
      <c r="K32" s="6">
        <f t="shared" si="7"/>
        <v>42</v>
      </c>
      <c r="L32" s="6">
        <f t="shared" si="7"/>
        <v>48</v>
      </c>
      <c r="M32" s="6">
        <f t="shared" si="7"/>
        <v>54</v>
      </c>
      <c r="N32" s="6">
        <f t="shared" si="7"/>
        <v>60</v>
      </c>
      <c r="O32" s="6">
        <f t="shared" si="7"/>
        <v>66</v>
      </c>
    </row>
    <row r="33">
      <c r="B33" s="5" t="s">
        <v>27</v>
      </c>
      <c r="C33" s="6"/>
      <c r="D33" s="6"/>
      <c r="E33" s="6"/>
      <c r="F33" s="6"/>
      <c r="G33" s="7"/>
      <c r="H33" s="7">
        <f>H31</f>
        <v>2</v>
      </c>
      <c r="I33" s="7">
        <f t="shared" ref="I33:O33" si="8">H33+I31</f>
        <v>4</v>
      </c>
      <c r="J33" s="7">
        <f t="shared" si="8"/>
        <v>6</v>
      </c>
      <c r="K33" s="7">
        <f t="shared" si="8"/>
        <v>8</v>
      </c>
      <c r="L33" s="7">
        <f t="shared" si="8"/>
        <v>10</v>
      </c>
      <c r="M33" s="7">
        <f t="shared" si="8"/>
        <v>12</v>
      </c>
      <c r="N33" s="7">
        <f t="shared" si="8"/>
        <v>14</v>
      </c>
      <c r="O33" s="7">
        <f t="shared" si="8"/>
        <v>16</v>
      </c>
      <c r="P33" s="1" t="s">
        <v>28</v>
      </c>
    </row>
    <row r="34">
      <c r="B34" s="5" t="s">
        <v>5</v>
      </c>
      <c r="C34" s="5"/>
      <c r="D34" s="6"/>
      <c r="E34" s="6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>
      <c r="B35" s="6"/>
      <c r="C35" s="5" t="s">
        <v>19</v>
      </c>
      <c r="D35" s="6"/>
      <c r="E35" s="6"/>
      <c r="F35" s="5">
        <v>0.0</v>
      </c>
      <c r="G35" s="5">
        <v>0.0</v>
      </c>
      <c r="H35" s="5">
        <v>0.0</v>
      </c>
      <c r="I35" s="5">
        <v>0.0</v>
      </c>
      <c r="J35" s="5">
        <v>0.0</v>
      </c>
      <c r="K35" s="5">
        <v>0.0</v>
      </c>
      <c r="L35" s="5">
        <v>0.0</v>
      </c>
      <c r="M35" s="5">
        <v>0.0</v>
      </c>
      <c r="N35" s="5">
        <v>0.0</v>
      </c>
      <c r="O35" s="5">
        <v>0.0</v>
      </c>
    </row>
    <row r="36">
      <c r="B36" s="6"/>
      <c r="C36" s="5" t="s">
        <v>20</v>
      </c>
      <c r="D36" s="6"/>
      <c r="E36" s="6"/>
      <c r="F36" s="7">
        <f t="shared" ref="F36:O36" si="9">E32*$E$11</f>
        <v>300000</v>
      </c>
      <c r="G36" s="7">
        <f t="shared" si="9"/>
        <v>600000</v>
      </c>
      <c r="H36" s="7">
        <f t="shared" si="9"/>
        <v>900000</v>
      </c>
      <c r="I36" s="7">
        <f t="shared" si="9"/>
        <v>1200000</v>
      </c>
      <c r="J36" s="7">
        <f t="shared" si="9"/>
        <v>1500000</v>
      </c>
      <c r="K36" s="7">
        <f t="shared" si="9"/>
        <v>1800000</v>
      </c>
      <c r="L36" s="7">
        <f t="shared" si="9"/>
        <v>2100000</v>
      </c>
      <c r="M36" s="7">
        <f t="shared" si="9"/>
        <v>2400000</v>
      </c>
      <c r="N36" s="7">
        <f t="shared" si="9"/>
        <v>2700000</v>
      </c>
      <c r="O36" s="7">
        <f t="shared" si="9"/>
        <v>3000000</v>
      </c>
    </row>
    <row r="37">
      <c r="B37" s="6"/>
      <c r="C37" s="5" t="s">
        <v>22</v>
      </c>
      <c r="D37" s="6"/>
      <c r="E37" s="6"/>
      <c r="F37" s="7">
        <f>F36</f>
        <v>300000</v>
      </c>
      <c r="G37" s="7">
        <f t="shared" ref="G37:O37" si="10">F37+G36</f>
        <v>900000</v>
      </c>
      <c r="H37" s="7">
        <f t="shared" si="10"/>
        <v>1800000</v>
      </c>
      <c r="I37" s="7">
        <f t="shared" si="10"/>
        <v>3000000</v>
      </c>
      <c r="J37" s="7">
        <f t="shared" si="10"/>
        <v>4500000</v>
      </c>
      <c r="K37" s="7">
        <f t="shared" si="10"/>
        <v>6300000</v>
      </c>
      <c r="L37" s="7">
        <f t="shared" si="10"/>
        <v>8400000</v>
      </c>
      <c r="M37" s="7">
        <f t="shared" si="10"/>
        <v>10800000</v>
      </c>
      <c r="N37" s="7">
        <f t="shared" si="10"/>
        <v>13500000</v>
      </c>
      <c r="O37" s="7">
        <f t="shared" si="10"/>
        <v>16500000</v>
      </c>
    </row>
    <row r="38">
      <c r="B38" s="5" t="s">
        <v>4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>
      <c r="B39" s="6"/>
      <c r="C39" s="5" t="s">
        <v>19</v>
      </c>
      <c r="D39" s="6"/>
      <c r="E39" s="6"/>
      <c r="F39" s="6"/>
      <c r="G39" s="6"/>
      <c r="H39" s="7">
        <f t="shared" ref="H39:O39" si="11">H31*$D$10</f>
        <v>600000</v>
      </c>
      <c r="I39" s="7">
        <f t="shared" si="11"/>
        <v>600000</v>
      </c>
      <c r="J39" s="7">
        <f t="shared" si="11"/>
        <v>600000</v>
      </c>
      <c r="K39" s="7">
        <f t="shared" si="11"/>
        <v>600000</v>
      </c>
      <c r="L39" s="7">
        <f t="shared" si="11"/>
        <v>600000</v>
      </c>
      <c r="M39" s="7">
        <f t="shared" si="11"/>
        <v>600000</v>
      </c>
      <c r="N39" s="7">
        <f t="shared" si="11"/>
        <v>600000</v>
      </c>
      <c r="O39" s="7">
        <f t="shared" si="11"/>
        <v>600000</v>
      </c>
    </row>
    <row r="40">
      <c r="B40" s="6"/>
      <c r="C40" s="5" t="s">
        <v>20</v>
      </c>
      <c r="D40" s="6"/>
      <c r="E40" s="6"/>
      <c r="F40" s="6"/>
      <c r="G40" s="6"/>
      <c r="H40" s="6"/>
      <c r="I40" s="7">
        <f t="shared" ref="I40:O40" si="12">H33*$D$11</f>
        <v>400000</v>
      </c>
      <c r="J40" s="7">
        <f t="shared" si="12"/>
        <v>800000</v>
      </c>
      <c r="K40" s="7">
        <f t="shared" si="12"/>
        <v>1200000</v>
      </c>
      <c r="L40" s="7">
        <f t="shared" si="12"/>
        <v>1600000</v>
      </c>
      <c r="M40" s="7">
        <f t="shared" si="12"/>
        <v>2000000</v>
      </c>
      <c r="N40" s="7">
        <f t="shared" si="12"/>
        <v>2400000</v>
      </c>
      <c r="O40" s="7">
        <f t="shared" si="12"/>
        <v>2800000</v>
      </c>
    </row>
    <row r="41">
      <c r="B41" s="6"/>
      <c r="C41" s="5" t="s">
        <v>21</v>
      </c>
      <c r="D41" s="6"/>
      <c r="E41" s="6"/>
      <c r="F41" s="6"/>
      <c r="G41" s="6"/>
      <c r="H41" s="7">
        <f t="shared" ref="H41:O41" si="13">H39+H40</f>
        <v>600000</v>
      </c>
      <c r="I41" s="7">
        <f t="shared" si="13"/>
        <v>1000000</v>
      </c>
      <c r="J41" s="7">
        <f t="shared" si="13"/>
        <v>1400000</v>
      </c>
      <c r="K41" s="7">
        <f t="shared" si="13"/>
        <v>1800000</v>
      </c>
      <c r="L41" s="7">
        <f t="shared" si="13"/>
        <v>2200000</v>
      </c>
      <c r="M41" s="7">
        <f t="shared" si="13"/>
        <v>2600000</v>
      </c>
      <c r="N41" s="7">
        <f t="shared" si="13"/>
        <v>3000000</v>
      </c>
      <c r="O41" s="7">
        <f t="shared" si="13"/>
        <v>3400000</v>
      </c>
    </row>
    <row r="42">
      <c r="B42" s="6"/>
      <c r="C42" s="5" t="s">
        <v>22</v>
      </c>
      <c r="D42" s="6"/>
      <c r="E42" s="6"/>
      <c r="F42" s="6"/>
      <c r="G42" s="6"/>
      <c r="H42" s="7">
        <f>H41</f>
        <v>600000</v>
      </c>
      <c r="I42" s="7">
        <f t="shared" ref="I42:O42" si="14">H42+I41</f>
        <v>1600000</v>
      </c>
      <c r="J42" s="7">
        <f t="shared" si="14"/>
        <v>3000000</v>
      </c>
      <c r="K42" s="7">
        <f t="shared" si="14"/>
        <v>4800000</v>
      </c>
      <c r="L42" s="7">
        <f t="shared" si="14"/>
        <v>7000000</v>
      </c>
      <c r="M42" s="7">
        <f t="shared" si="14"/>
        <v>9600000</v>
      </c>
      <c r="N42" s="7">
        <f t="shared" si="14"/>
        <v>12600000</v>
      </c>
      <c r="O42" s="7">
        <f t="shared" si="14"/>
        <v>16000000</v>
      </c>
    </row>
    <row r="43">
      <c r="B43" s="5" t="s">
        <v>29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>
      <c r="B44" s="6"/>
      <c r="C44" s="5" t="s">
        <v>21</v>
      </c>
      <c r="D44" s="6"/>
      <c r="E44" s="6"/>
      <c r="F44" s="7">
        <f t="shared" ref="F44:O44" si="15">F36+F41</f>
        <v>300000</v>
      </c>
      <c r="G44" s="7">
        <f t="shared" si="15"/>
        <v>600000</v>
      </c>
      <c r="H44" s="7">
        <f t="shared" si="15"/>
        <v>1500000</v>
      </c>
      <c r="I44" s="7">
        <f t="shared" si="15"/>
        <v>2200000</v>
      </c>
      <c r="J44" s="7">
        <f t="shared" si="15"/>
        <v>2900000</v>
      </c>
      <c r="K44" s="7">
        <f t="shared" si="15"/>
        <v>3600000</v>
      </c>
      <c r="L44" s="7">
        <f t="shared" si="15"/>
        <v>4300000</v>
      </c>
      <c r="M44" s="7">
        <f t="shared" si="15"/>
        <v>5000000</v>
      </c>
      <c r="N44" s="7">
        <f t="shared" si="15"/>
        <v>5700000</v>
      </c>
      <c r="O44" s="7">
        <f t="shared" si="15"/>
        <v>6400000</v>
      </c>
    </row>
    <row r="45">
      <c r="B45" s="6"/>
      <c r="C45" s="5" t="s">
        <v>22</v>
      </c>
      <c r="D45" s="6"/>
      <c r="E45" s="6"/>
      <c r="F45" s="7">
        <f t="shared" ref="F45:O45" si="16">F37+F42</f>
        <v>300000</v>
      </c>
      <c r="G45" s="7">
        <f t="shared" si="16"/>
        <v>900000</v>
      </c>
      <c r="H45" s="7">
        <f t="shared" si="16"/>
        <v>2400000</v>
      </c>
      <c r="I45" s="7">
        <f t="shared" si="16"/>
        <v>4600000</v>
      </c>
      <c r="J45" s="7">
        <f t="shared" si="16"/>
        <v>7500000</v>
      </c>
      <c r="K45" s="7">
        <f t="shared" si="16"/>
        <v>11100000</v>
      </c>
      <c r="L45" s="7">
        <f t="shared" si="16"/>
        <v>15400000</v>
      </c>
      <c r="M45" s="7">
        <f t="shared" si="16"/>
        <v>20400000</v>
      </c>
      <c r="N45" s="7">
        <f t="shared" si="16"/>
        <v>26100000</v>
      </c>
      <c r="O45" s="7">
        <f t="shared" si="16"/>
        <v>32500000</v>
      </c>
    </row>
    <row r="47">
      <c r="N47" s="1" t="s">
        <v>30</v>
      </c>
      <c r="O47" s="9">
        <f>O45-O25</f>
        <v>12700000</v>
      </c>
    </row>
  </sheetData>
  <drawing r:id="rId4"/>
  <legacyDrawing r:id="rId5"/>
  <tableParts count="2"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3.13"/>
    <col customWidth="1" min="2" max="2" width="9.38"/>
    <col customWidth="1" min="3" max="3" width="4.38"/>
    <col customWidth="1" min="4" max="4" width="21.0"/>
    <col customWidth="1" min="5" max="5" width="55.88"/>
    <col customWidth="1" min="6" max="6" width="21.0"/>
    <col customWidth="1" min="7" max="7" width="16.0"/>
    <col customWidth="1" min="8" max="8" width="23.13"/>
  </cols>
  <sheetData>
    <row r="1">
      <c r="A1" s="10" t="s">
        <v>31</v>
      </c>
      <c r="B1" s="10" t="s">
        <v>32</v>
      </c>
      <c r="C1" s="10" t="s">
        <v>33</v>
      </c>
      <c r="D1" s="11" t="s">
        <v>34</v>
      </c>
      <c r="E1" s="10" t="s">
        <v>35</v>
      </c>
      <c r="F1" s="10" t="s">
        <v>36</v>
      </c>
      <c r="G1" s="10" t="s">
        <v>37</v>
      </c>
      <c r="H1" s="10" t="s">
        <v>38</v>
      </c>
      <c r="I1" s="12" t="s">
        <v>39</v>
      </c>
      <c r="J1" s="12" t="s">
        <v>40</v>
      </c>
      <c r="K1" s="12" t="s">
        <v>41</v>
      </c>
      <c r="L1" s="12" t="s">
        <v>42</v>
      </c>
      <c r="M1" s="12" t="s">
        <v>43</v>
      </c>
      <c r="N1" s="12" t="s">
        <v>44</v>
      </c>
      <c r="O1" s="12" t="s">
        <v>45</v>
      </c>
    </row>
    <row r="2">
      <c r="A2" s="13">
        <v>1.0</v>
      </c>
      <c r="B2" s="14" t="s">
        <v>46</v>
      </c>
      <c r="C2" s="14" t="s">
        <v>47</v>
      </c>
      <c r="D2" s="14" t="s">
        <v>48</v>
      </c>
      <c r="E2" s="14" t="s">
        <v>49</v>
      </c>
      <c r="F2" s="15" t="s">
        <v>50</v>
      </c>
      <c r="G2" s="16">
        <v>3.0</v>
      </c>
      <c r="H2" s="17">
        <v>0.2</v>
      </c>
      <c r="I2" s="18"/>
      <c r="J2" s="18"/>
      <c r="K2" s="18"/>
      <c r="L2" s="18"/>
      <c r="M2" s="18"/>
      <c r="N2" s="18"/>
      <c r="O2" s="18"/>
    </row>
    <row r="3">
      <c r="A3" s="13">
        <v>2.0</v>
      </c>
      <c r="B3" s="14" t="s">
        <v>46</v>
      </c>
      <c r="C3" s="14" t="s">
        <v>47</v>
      </c>
      <c r="D3" s="14" t="s">
        <v>51</v>
      </c>
      <c r="E3" s="14" t="s">
        <v>52</v>
      </c>
      <c r="F3" s="15"/>
      <c r="G3" s="19">
        <v>5.0</v>
      </c>
      <c r="H3" s="20">
        <v>0.5</v>
      </c>
      <c r="I3" s="18"/>
      <c r="J3" s="18"/>
      <c r="K3" s="18"/>
      <c r="L3" s="18"/>
      <c r="M3" s="18"/>
      <c r="N3" s="18"/>
      <c r="O3" s="18"/>
    </row>
    <row r="4">
      <c r="A4" s="13">
        <v>3.0</v>
      </c>
      <c r="B4" s="14" t="s">
        <v>46</v>
      </c>
      <c r="C4" s="14" t="s">
        <v>47</v>
      </c>
      <c r="D4" s="14" t="s">
        <v>53</v>
      </c>
      <c r="E4" s="14" t="s">
        <v>54</v>
      </c>
      <c r="F4" s="15"/>
      <c r="G4" s="19">
        <v>5.0</v>
      </c>
      <c r="H4" s="21">
        <v>0.3</v>
      </c>
      <c r="I4" s="18"/>
      <c r="J4" s="18"/>
      <c r="K4" s="18"/>
      <c r="L4" s="18"/>
      <c r="M4" s="18"/>
      <c r="N4" s="18"/>
      <c r="O4" s="18"/>
    </row>
    <row r="5">
      <c r="A5" s="13">
        <v>4.0</v>
      </c>
      <c r="B5" s="14" t="s">
        <v>46</v>
      </c>
      <c r="C5" s="14" t="s">
        <v>47</v>
      </c>
      <c r="D5" s="14" t="s">
        <v>55</v>
      </c>
      <c r="E5" s="14" t="s">
        <v>56</v>
      </c>
      <c r="F5" s="15"/>
      <c r="G5" s="22">
        <v>1.0</v>
      </c>
      <c r="H5" s="23">
        <v>0.0</v>
      </c>
      <c r="I5" s="18"/>
      <c r="J5" s="18"/>
      <c r="K5" s="18"/>
      <c r="L5" s="18"/>
      <c r="M5" s="18"/>
      <c r="N5" s="18"/>
      <c r="O5" s="18"/>
    </row>
    <row r="6">
      <c r="A6" s="24">
        <v>5.0</v>
      </c>
      <c r="B6" s="25" t="s">
        <v>46</v>
      </c>
      <c r="C6" s="25" t="s">
        <v>57</v>
      </c>
      <c r="D6" s="25" t="s">
        <v>48</v>
      </c>
      <c r="E6" s="25" t="s">
        <v>58</v>
      </c>
      <c r="F6" s="15" t="s">
        <v>59</v>
      </c>
      <c r="G6" s="19">
        <v>5.0</v>
      </c>
      <c r="H6" s="26">
        <v>0.1</v>
      </c>
      <c r="I6" s="18"/>
      <c r="J6" s="18"/>
      <c r="K6" s="18"/>
      <c r="L6" s="18"/>
      <c r="M6" s="18"/>
      <c r="N6" s="18"/>
      <c r="O6" s="18"/>
    </row>
    <row r="7">
      <c r="A7" s="24">
        <v>6.0</v>
      </c>
      <c r="B7" s="25" t="s">
        <v>46</v>
      </c>
      <c r="C7" s="25" t="s">
        <v>57</v>
      </c>
      <c r="D7" s="25" t="s">
        <v>51</v>
      </c>
      <c r="E7" s="25" t="s">
        <v>60</v>
      </c>
      <c r="F7" s="15" t="s">
        <v>61</v>
      </c>
      <c r="G7" s="19">
        <v>5.0</v>
      </c>
      <c r="H7" s="27">
        <v>0.4</v>
      </c>
      <c r="I7" s="18"/>
      <c r="J7" s="18"/>
      <c r="K7" s="18"/>
      <c r="L7" s="18"/>
      <c r="M7" s="18"/>
      <c r="N7" s="18"/>
      <c r="O7" s="18"/>
    </row>
    <row r="8">
      <c r="A8" s="24">
        <v>7.0</v>
      </c>
      <c r="B8" s="25" t="s">
        <v>46</v>
      </c>
      <c r="C8" s="25" t="s">
        <v>57</v>
      </c>
      <c r="D8" s="25" t="s">
        <v>53</v>
      </c>
      <c r="E8" s="25" t="s">
        <v>62</v>
      </c>
      <c r="F8" s="15"/>
      <c r="G8" s="28">
        <v>4.0</v>
      </c>
      <c r="H8" s="29">
        <v>0.45</v>
      </c>
      <c r="I8" s="18"/>
      <c r="J8" s="18"/>
      <c r="K8" s="18"/>
      <c r="L8" s="18"/>
      <c r="M8" s="18"/>
      <c r="N8" s="18"/>
      <c r="O8" s="18"/>
    </row>
    <row r="9">
      <c r="A9" s="24">
        <v>8.0</v>
      </c>
      <c r="B9" s="25" t="s">
        <v>46</v>
      </c>
      <c r="C9" s="25" t="s">
        <v>57</v>
      </c>
      <c r="D9" s="25" t="s">
        <v>55</v>
      </c>
      <c r="E9" s="25" t="s">
        <v>63</v>
      </c>
      <c r="F9" s="15"/>
      <c r="G9" s="22">
        <v>1.0</v>
      </c>
      <c r="H9" s="30">
        <v>0.05</v>
      </c>
      <c r="I9" s="18"/>
      <c r="J9" s="18"/>
      <c r="K9" s="18"/>
      <c r="L9" s="18"/>
      <c r="M9" s="18"/>
      <c r="N9" s="18"/>
      <c r="O9" s="18"/>
    </row>
    <row r="10">
      <c r="A10" s="31">
        <v>9.0</v>
      </c>
      <c r="B10" s="10" t="s">
        <v>46</v>
      </c>
      <c r="C10" s="10" t="s">
        <v>64</v>
      </c>
      <c r="D10" s="10" t="s">
        <v>48</v>
      </c>
      <c r="E10" s="10" t="s">
        <v>65</v>
      </c>
      <c r="F10" s="32"/>
      <c r="G10" s="33">
        <v>4.0</v>
      </c>
      <c r="H10" s="34">
        <v>0.01</v>
      </c>
      <c r="I10" s="18"/>
      <c r="J10" s="18"/>
      <c r="K10" s="18"/>
      <c r="L10" s="18"/>
      <c r="M10" s="18"/>
      <c r="N10" s="18"/>
      <c r="O10" s="18"/>
    </row>
    <row r="11">
      <c r="A11" s="31">
        <v>10.0</v>
      </c>
      <c r="B11" s="10" t="s">
        <v>46</v>
      </c>
      <c r="C11" s="10" t="s">
        <v>64</v>
      </c>
      <c r="D11" s="10" t="s">
        <v>51</v>
      </c>
      <c r="E11" s="10" t="s">
        <v>66</v>
      </c>
      <c r="F11" s="32" t="s">
        <v>67</v>
      </c>
      <c r="G11" s="33">
        <v>4.0</v>
      </c>
      <c r="H11" s="35">
        <v>0.25</v>
      </c>
      <c r="I11" s="18"/>
      <c r="J11" s="18"/>
      <c r="K11" s="18"/>
      <c r="L11" s="18"/>
      <c r="M11" s="18"/>
      <c r="N11" s="18"/>
      <c r="O11" s="18"/>
    </row>
    <row r="12">
      <c r="A12" s="31">
        <v>11.0</v>
      </c>
      <c r="B12" s="10" t="s">
        <v>46</v>
      </c>
      <c r="C12" s="10" t="s">
        <v>64</v>
      </c>
      <c r="D12" s="10" t="s">
        <v>53</v>
      </c>
      <c r="E12" s="10" t="s">
        <v>68</v>
      </c>
      <c r="F12" s="32" t="s">
        <v>69</v>
      </c>
      <c r="G12" s="36">
        <v>2.0</v>
      </c>
      <c r="H12" s="20">
        <v>0.5</v>
      </c>
      <c r="I12" s="18"/>
      <c r="J12" s="18"/>
      <c r="K12" s="18"/>
      <c r="L12" s="18"/>
      <c r="M12" s="18"/>
      <c r="N12" s="18"/>
      <c r="O12" s="18"/>
    </row>
    <row r="13">
      <c r="A13" s="31">
        <v>12.0</v>
      </c>
      <c r="B13" s="10" t="s">
        <v>46</v>
      </c>
      <c r="C13" s="10" t="s">
        <v>64</v>
      </c>
      <c r="D13" s="10" t="s">
        <v>55</v>
      </c>
      <c r="E13" s="10" t="s">
        <v>70</v>
      </c>
      <c r="F13" s="32"/>
      <c r="G13" s="37">
        <v>1.0</v>
      </c>
      <c r="H13" s="38">
        <v>0.24</v>
      </c>
      <c r="I13" s="18"/>
      <c r="J13" s="18"/>
      <c r="K13" s="18"/>
      <c r="L13" s="18"/>
      <c r="M13" s="18"/>
      <c r="N13" s="18"/>
      <c r="O13" s="18"/>
    </row>
    <row r="14">
      <c r="A14" s="39">
        <v>13.0</v>
      </c>
      <c r="B14" s="40" t="s">
        <v>71</v>
      </c>
      <c r="C14" s="40" t="s">
        <v>47</v>
      </c>
      <c r="D14" s="40" t="s">
        <v>48</v>
      </c>
      <c r="E14" s="40" t="s">
        <v>72</v>
      </c>
      <c r="F14" s="32" t="s">
        <v>73</v>
      </c>
      <c r="G14" s="41">
        <v>5.0</v>
      </c>
      <c r="H14" s="26">
        <v>0.1</v>
      </c>
      <c r="I14" s="18"/>
      <c r="J14" s="18"/>
      <c r="K14" s="18"/>
      <c r="L14" s="18"/>
      <c r="M14" s="18"/>
      <c r="N14" s="18"/>
      <c r="O14" s="18"/>
    </row>
    <row r="15">
      <c r="A15" s="39">
        <v>14.0</v>
      </c>
      <c r="B15" s="40" t="s">
        <v>71</v>
      </c>
      <c r="C15" s="40" t="s">
        <v>47</v>
      </c>
      <c r="D15" s="40" t="s">
        <v>51</v>
      </c>
      <c r="E15" s="40" t="s">
        <v>74</v>
      </c>
      <c r="F15" s="32" t="s">
        <v>75</v>
      </c>
      <c r="G15" s="41">
        <v>5.0</v>
      </c>
      <c r="H15" s="17">
        <v>0.2</v>
      </c>
      <c r="I15" s="18"/>
      <c r="J15" s="18"/>
      <c r="K15" s="18"/>
      <c r="L15" s="18"/>
      <c r="M15" s="18"/>
      <c r="N15" s="18"/>
      <c r="O15" s="18"/>
    </row>
    <row r="16">
      <c r="A16" s="39">
        <v>15.0</v>
      </c>
      <c r="B16" s="40" t="s">
        <v>71</v>
      </c>
      <c r="C16" s="40" t="s">
        <v>47</v>
      </c>
      <c r="D16" s="40" t="s">
        <v>53</v>
      </c>
      <c r="E16" s="40" t="s">
        <v>76</v>
      </c>
      <c r="F16" s="32"/>
      <c r="G16" s="33">
        <v>4.0</v>
      </c>
      <c r="H16" s="20">
        <v>0.5</v>
      </c>
      <c r="I16" s="18"/>
      <c r="J16" s="18"/>
      <c r="K16" s="18"/>
      <c r="L16" s="18"/>
      <c r="M16" s="18"/>
      <c r="N16" s="18"/>
      <c r="O16" s="18"/>
    </row>
    <row r="17">
      <c r="A17" s="39">
        <v>16.0</v>
      </c>
      <c r="B17" s="40" t="s">
        <v>71</v>
      </c>
      <c r="C17" s="40" t="s">
        <v>47</v>
      </c>
      <c r="D17" s="40" t="s">
        <v>55</v>
      </c>
      <c r="E17" s="40" t="s">
        <v>77</v>
      </c>
      <c r="F17" s="32" t="s">
        <v>78</v>
      </c>
      <c r="G17" s="36">
        <v>2.0</v>
      </c>
      <c r="H17" s="17">
        <v>0.2</v>
      </c>
      <c r="I17" s="18"/>
      <c r="J17" s="18"/>
      <c r="K17" s="18"/>
      <c r="L17" s="18"/>
      <c r="M17" s="18"/>
      <c r="N17" s="18"/>
      <c r="O17" s="18"/>
    </row>
    <row r="18">
      <c r="A18" s="42">
        <v>17.0</v>
      </c>
      <c r="B18" s="43" t="s">
        <v>71</v>
      </c>
      <c r="C18" s="43" t="s">
        <v>57</v>
      </c>
      <c r="D18" s="43" t="s">
        <v>48</v>
      </c>
      <c r="E18" s="43" t="s">
        <v>79</v>
      </c>
      <c r="F18" s="32"/>
      <c r="G18" s="33">
        <v>4.0</v>
      </c>
      <c r="H18" s="17">
        <v>0.2</v>
      </c>
      <c r="I18" s="18"/>
      <c r="J18" s="18"/>
      <c r="K18" s="18"/>
      <c r="L18" s="18"/>
      <c r="M18" s="18"/>
      <c r="N18" s="18"/>
      <c r="O18" s="18"/>
    </row>
    <row r="19">
      <c r="A19" s="42">
        <v>18.0</v>
      </c>
      <c r="B19" s="43" t="s">
        <v>71</v>
      </c>
      <c r="C19" s="43" t="s">
        <v>57</v>
      </c>
      <c r="D19" s="43" t="s">
        <v>51</v>
      </c>
      <c r="E19" s="43" t="s">
        <v>80</v>
      </c>
      <c r="F19" s="32" t="s">
        <v>81</v>
      </c>
      <c r="G19" s="33">
        <v>4.0</v>
      </c>
      <c r="H19" s="21">
        <v>0.3</v>
      </c>
      <c r="I19" s="18"/>
      <c r="J19" s="18"/>
      <c r="K19" s="18"/>
      <c r="L19" s="18"/>
      <c r="M19" s="18"/>
      <c r="N19" s="18"/>
      <c r="O19" s="18"/>
    </row>
    <row r="20">
      <c r="A20" s="42">
        <v>19.0</v>
      </c>
      <c r="B20" s="43" t="s">
        <v>71</v>
      </c>
      <c r="C20" s="43" t="s">
        <v>57</v>
      </c>
      <c r="D20" s="43" t="s">
        <v>53</v>
      </c>
      <c r="E20" s="43" t="s">
        <v>82</v>
      </c>
      <c r="F20" s="32"/>
      <c r="G20" s="44">
        <v>3.0</v>
      </c>
      <c r="H20" s="21">
        <v>0.3</v>
      </c>
      <c r="I20" s="18"/>
      <c r="J20" s="18"/>
      <c r="K20" s="18"/>
      <c r="L20" s="18"/>
      <c r="M20" s="18"/>
      <c r="N20" s="18"/>
      <c r="O20" s="18"/>
    </row>
    <row r="21">
      <c r="A21" s="42">
        <v>20.0</v>
      </c>
      <c r="B21" s="43" t="s">
        <v>71</v>
      </c>
      <c r="C21" s="43" t="s">
        <v>57</v>
      </c>
      <c r="D21" s="43" t="s">
        <v>55</v>
      </c>
      <c r="E21" s="43" t="s">
        <v>83</v>
      </c>
      <c r="F21" s="32"/>
      <c r="G21" s="36">
        <v>2.0</v>
      </c>
      <c r="H21" s="17">
        <v>0.2</v>
      </c>
      <c r="I21" s="18"/>
      <c r="J21" s="18"/>
      <c r="K21" s="18"/>
      <c r="L21" s="18"/>
      <c r="M21" s="18"/>
      <c r="N21" s="18"/>
      <c r="O21" s="18"/>
    </row>
    <row r="22">
      <c r="A22" s="45">
        <v>21.0</v>
      </c>
      <c r="B22" s="46" t="s">
        <v>71</v>
      </c>
      <c r="C22" s="46" t="s">
        <v>64</v>
      </c>
      <c r="D22" s="46" t="s">
        <v>48</v>
      </c>
      <c r="E22" s="47" t="s">
        <v>84</v>
      </c>
      <c r="F22" s="32"/>
      <c r="G22" s="44">
        <v>3.0</v>
      </c>
      <c r="H22" s="34">
        <v>0.01</v>
      </c>
      <c r="I22" s="18"/>
      <c r="J22" s="18"/>
      <c r="K22" s="18"/>
      <c r="L22" s="18"/>
      <c r="M22" s="18"/>
      <c r="N22" s="18"/>
      <c r="O22" s="18"/>
    </row>
    <row r="23">
      <c r="A23" s="45">
        <v>22.0</v>
      </c>
      <c r="B23" s="46" t="s">
        <v>71</v>
      </c>
      <c r="C23" s="46" t="s">
        <v>64</v>
      </c>
      <c r="D23" s="46" t="s">
        <v>51</v>
      </c>
      <c r="E23" s="47" t="s">
        <v>85</v>
      </c>
      <c r="F23" s="32"/>
      <c r="G23" s="44">
        <v>3.0</v>
      </c>
      <c r="H23" s="26">
        <v>0.1</v>
      </c>
      <c r="I23" s="18"/>
      <c r="J23" s="18"/>
      <c r="K23" s="18"/>
      <c r="L23" s="18"/>
      <c r="M23" s="18"/>
      <c r="N23" s="18"/>
      <c r="O23" s="18"/>
    </row>
    <row r="24">
      <c r="A24" s="45">
        <v>23.0</v>
      </c>
      <c r="B24" s="46" t="s">
        <v>71</v>
      </c>
      <c r="C24" s="46" t="s">
        <v>64</v>
      </c>
      <c r="D24" s="46" t="s">
        <v>53</v>
      </c>
      <c r="E24" s="47" t="s">
        <v>86</v>
      </c>
      <c r="F24" s="32" t="s">
        <v>87</v>
      </c>
      <c r="G24" s="36">
        <v>2.0</v>
      </c>
      <c r="H24" s="48">
        <v>0.34</v>
      </c>
      <c r="I24" s="18"/>
      <c r="J24" s="18"/>
      <c r="K24" s="18"/>
      <c r="L24" s="18"/>
      <c r="M24" s="18"/>
      <c r="N24" s="18"/>
      <c r="O24" s="18"/>
    </row>
    <row r="25">
      <c r="A25" s="45">
        <v>24.0</v>
      </c>
      <c r="B25" s="46" t="s">
        <v>71</v>
      </c>
      <c r="C25" s="46" t="s">
        <v>64</v>
      </c>
      <c r="D25" s="46" t="s">
        <v>55</v>
      </c>
      <c r="E25" s="47" t="s">
        <v>88</v>
      </c>
      <c r="F25" s="32"/>
      <c r="G25" s="37">
        <v>1.0</v>
      </c>
      <c r="H25" s="49">
        <v>0.55</v>
      </c>
      <c r="I25" s="18"/>
      <c r="J25" s="18"/>
      <c r="K25" s="18"/>
      <c r="L25" s="18"/>
      <c r="M25" s="18"/>
      <c r="N25" s="18"/>
      <c r="O25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2" max="2" width="2.63"/>
    <col customWidth="1" min="7" max="7" width="3.63"/>
  </cols>
  <sheetData>
    <row r="2">
      <c r="B2" s="1" t="s">
        <v>89</v>
      </c>
    </row>
    <row r="3">
      <c r="B3" s="1" t="s">
        <v>90</v>
      </c>
      <c r="G3" s="1" t="s">
        <v>91</v>
      </c>
    </row>
    <row r="4">
      <c r="B4" s="1" t="s">
        <v>92</v>
      </c>
      <c r="G4" s="1" t="s">
        <v>93</v>
      </c>
    </row>
    <row r="5">
      <c r="B5" s="1" t="s">
        <v>94</v>
      </c>
      <c r="H5" s="1" t="s">
        <v>95</v>
      </c>
    </row>
    <row r="6">
      <c r="C6" s="1" t="s">
        <v>96</v>
      </c>
      <c r="H6" s="1" t="s">
        <v>97</v>
      </c>
    </row>
    <row r="7">
      <c r="C7" s="1" t="s">
        <v>98</v>
      </c>
      <c r="H7" s="1" t="s">
        <v>99</v>
      </c>
    </row>
    <row r="8">
      <c r="C8" s="1" t="s">
        <v>100</v>
      </c>
      <c r="G8" s="1" t="s">
        <v>101</v>
      </c>
    </row>
    <row r="9">
      <c r="C9" s="1" t="s">
        <v>102</v>
      </c>
      <c r="H9" s="1" t="s">
        <v>103</v>
      </c>
    </row>
    <row r="10">
      <c r="B10" s="1" t="s">
        <v>104</v>
      </c>
      <c r="H10" s="1" t="s">
        <v>105</v>
      </c>
    </row>
    <row r="11">
      <c r="C11" s="1" t="s">
        <v>106</v>
      </c>
      <c r="H11" s="1" t="s">
        <v>107</v>
      </c>
    </row>
    <row r="12">
      <c r="C12" s="1" t="s">
        <v>108</v>
      </c>
      <c r="H12" s="1" t="s">
        <v>109</v>
      </c>
    </row>
    <row r="13">
      <c r="C13" s="1" t="s">
        <v>110</v>
      </c>
      <c r="H13" s="1" t="s">
        <v>111</v>
      </c>
    </row>
    <row r="14">
      <c r="C14" s="1" t="s">
        <v>112</v>
      </c>
      <c r="G14" s="1" t="s">
        <v>113</v>
      </c>
    </row>
    <row r="15">
      <c r="C15" s="1" t="s">
        <v>114</v>
      </c>
      <c r="H15" s="1" t="s">
        <v>115</v>
      </c>
    </row>
    <row r="16">
      <c r="C16" s="1" t="s">
        <v>116</v>
      </c>
      <c r="H16" s="1" t="s">
        <v>117</v>
      </c>
    </row>
    <row r="17">
      <c r="B17" s="1" t="s">
        <v>118</v>
      </c>
      <c r="H17" s="1" t="s">
        <v>119</v>
      </c>
    </row>
    <row r="18">
      <c r="C18" s="1" t="s">
        <v>120</v>
      </c>
      <c r="G18" s="1" t="s">
        <v>121</v>
      </c>
    </row>
    <row r="19">
      <c r="C19" s="1" t="s">
        <v>122</v>
      </c>
      <c r="H19" s="1" t="s">
        <v>123</v>
      </c>
    </row>
    <row r="20">
      <c r="C20" s="1" t="s">
        <v>124</v>
      </c>
      <c r="H20" s="1" t="s">
        <v>125</v>
      </c>
    </row>
    <row r="21">
      <c r="C21" s="1" t="s">
        <v>126</v>
      </c>
      <c r="H21" s="1" t="s">
        <v>127</v>
      </c>
    </row>
    <row r="22">
      <c r="C22" s="1" t="s">
        <v>128</v>
      </c>
    </row>
    <row r="23">
      <c r="C23" s="1" t="s">
        <v>129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25"/>
    <col customWidth="1" min="2" max="2" width="2.88"/>
    <col customWidth="1" min="3" max="3" width="27.63"/>
    <col customWidth="1" min="4" max="4" width="38.75"/>
    <col customWidth="1" min="5" max="5" width="18.63"/>
    <col customWidth="1" min="6" max="6" width="44.38"/>
    <col customWidth="1" min="7" max="7" width="18.75"/>
  </cols>
  <sheetData>
    <row r="2">
      <c r="B2" s="1" t="s">
        <v>130</v>
      </c>
      <c r="C2" s="1" t="s">
        <v>131</v>
      </c>
    </row>
    <row r="3">
      <c r="F3" s="1" t="s">
        <v>132</v>
      </c>
    </row>
    <row r="4">
      <c r="B4" s="50" t="s">
        <v>133</v>
      </c>
      <c r="G4" s="1" t="s">
        <v>134</v>
      </c>
    </row>
    <row r="5">
      <c r="B5" s="51" t="s">
        <v>31</v>
      </c>
      <c r="C5" s="51" t="s">
        <v>135</v>
      </c>
      <c r="D5" s="51" t="s">
        <v>136</v>
      </c>
      <c r="G5" s="1" t="s">
        <v>137</v>
      </c>
    </row>
    <row r="6">
      <c r="B6" s="51">
        <v>1.0</v>
      </c>
      <c r="C6" s="51" t="s">
        <v>138</v>
      </c>
      <c r="D6" s="52" t="s">
        <v>139</v>
      </c>
      <c r="G6" s="1" t="s">
        <v>140</v>
      </c>
    </row>
    <row r="7">
      <c r="B7" s="51">
        <v>2.0</v>
      </c>
      <c r="C7" s="51" t="s">
        <v>141</v>
      </c>
      <c r="D7" s="52" t="s">
        <v>142</v>
      </c>
      <c r="G7" s="1" t="s">
        <v>143</v>
      </c>
    </row>
    <row r="8">
      <c r="B8" s="51">
        <v>3.0</v>
      </c>
      <c r="C8" s="51" t="s">
        <v>144</v>
      </c>
      <c r="D8" s="52" t="s">
        <v>145</v>
      </c>
      <c r="G8" s="1" t="s">
        <v>146</v>
      </c>
    </row>
    <row r="9">
      <c r="B9" s="51">
        <v>4.0</v>
      </c>
      <c r="C9" s="51" t="s">
        <v>147</v>
      </c>
      <c r="D9" s="52" t="s">
        <v>148</v>
      </c>
      <c r="G9" s="1" t="s">
        <v>149</v>
      </c>
    </row>
    <row r="10">
      <c r="B10" s="51">
        <v>5.0</v>
      </c>
      <c r="C10" s="51" t="s">
        <v>150</v>
      </c>
      <c r="D10" s="52" t="s">
        <v>151</v>
      </c>
      <c r="G10" s="1" t="s">
        <v>152</v>
      </c>
    </row>
    <row r="11">
      <c r="B11" s="51">
        <v>6.0</v>
      </c>
      <c r="C11" s="51" t="s">
        <v>153</v>
      </c>
      <c r="D11" s="52" t="s">
        <v>154</v>
      </c>
      <c r="G11" s="1" t="s">
        <v>155</v>
      </c>
    </row>
    <row r="12">
      <c r="B12" s="50"/>
    </row>
    <row r="13">
      <c r="B13" s="50" t="s">
        <v>156</v>
      </c>
    </row>
    <row r="14">
      <c r="B14" s="1" t="s">
        <v>157</v>
      </c>
    </row>
    <row r="15">
      <c r="B15" s="1" t="s">
        <v>158</v>
      </c>
    </row>
    <row r="16">
      <c r="B16" s="50"/>
    </row>
    <row r="17">
      <c r="B17" s="50"/>
    </row>
    <row r="18">
      <c r="B18" s="50" t="s">
        <v>159</v>
      </c>
      <c r="G18" s="53"/>
    </row>
    <row r="19">
      <c r="B19" s="54" t="s">
        <v>31</v>
      </c>
      <c r="C19" s="1" t="s">
        <v>160</v>
      </c>
      <c r="D19" s="54" t="s">
        <v>161</v>
      </c>
      <c r="E19" s="54" t="s">
        <v>162</v>
      </c>
      <c r="F19" s="54" t="s">
        <v>163</v>
      </c>
      <c r="G19" s="55" t="s">
        <v>164</v>
      </c>
    </row>
    <row r="20">
      <c r="B20" s="56">
        <v>1.0</v>
      </c>
      <c r="C20" s="57" t="s">
        <v>138</v>
      </c>
      <c r="D20" s="58" t="s">
        <v>165</v>
      </c>
      <c r="E20" s="58" t="s">
        <v>166</v>
      </c>
      <c r="F20" s="59" t="s">
        <v>167</v>
      </c>
      <c r="G20" s="59" t="s">
        <v>168</v>
      </c>
    </row>
    <row r="21">
      <c r="B21" s="56">
        <v>2.0</v>
      </c>
      <c r="C21" s="57" t="s">
        <v>141</v>
      </c>
      <c r="D21" s="58" t="s">
        <v>165</v>
      </c>
      <c r="E21" s="58" t="s">
        <v>169</v>
      </c>
      <c r="F21" s="59" t="s">
        <v>170</v>
      </c>
      <c r="G21" s="59" t="s">
        <v>168</v>
      </c>
    </row>
    <row r="22">
      <c r="B22" s="56">
        <v>3.0</v>
      </c>
      <c r="C22" s="57" t="s">
        <v>171</v>
      </c>
      <c r="D22" s="58" t="s">
        <v>165</v>
      </c>
      <c r="E22" s="58" t="s">
        <v>172</v>
      </c>
      <c r="F22" s="59" t="s">
        <v>173</v>
      </c>
      <c r="G22" s="59" t="s">
        <v>168</v>
      </c>
    </row>
    <row r="23">
      <c r="B23" s="56">
        <v>4.0</v>
      </c>
      <c r="C23" s="57" t="s">
        <v>171</v>
      </c>
      <c r="D23" s="58" t="s">
        <v>165</v>
      </c>
      <c r="E23" s="58" t="s">
        <v>172</v>
      </c>
      <c r="F23" s="59" t="s">
        <v>174</v>
      </c>
      <c r="G23" s="59" t="s">
        <v>168</v>
      </c>
    </row>
    <row r="24">
      <c r="B24" s="56">
        <v>5.0</v>
      </c>
      <c r="C24" s="57" t="s">
        <v>175</v>
      </c>
      <c r="D24" s="58" t="s">
        <v>165</v>
      </c>
      <c r="E24" s="58" t="s">
        <v>172</v>
      </c>
      <c r="F24" s="59" t="s">
        <v>176</v>
      </c>
      <c r="G24" s="59" t="s">
        <v>57</v>
      </c>
    </row>
    <row r="25">
      <c r="B25" s="56">
        <v>6.0</v>
      </c>
      <c r="C25" s="57" t="s">
        <v>171</v>
      </c>
      <c r="D25" s="58" t="s">
        <v>165</v>
      </c>
      <c r="E25" s="58" t="s">
        <v>172</v>
      </c>
      <c r="F25" s="59" t="s">
        <v>177</v>
      </c>
      <c r="G25" s="59" t="s">
        <v>57</v>
      </c>
    </row>
    <row r="26">
      <c r="B26" s="56">
        <v>7.0</v>
      </c>
      <c r="C26" s="57" t="s">
        <v>171</v>
      </c>
      <c r="D26" s="58" t="s">
        <v>165</v>
      </c>
      <c r="E26" s="58" t="s">
        <v>172</v>
      </c>
      <c r="F26" s="59" t="s">
        <v>178</v>
      </c>
      <c r="G26" s="59" t="s">
        <v>179</v>
      </c>
    </row>
    <row r="27">
      <c r="B27" s="56">
        <v>8.0</v>
      </c>
      <c r="C27" s="57" t="s">
        <v>147</v>
      </c>
      <c r="D27" s="58" t="s">
        <v>165</v>
      </c>
      <c r="E27" s="58" t="s">
        <v>180</v>
      </c>
      <c r="F27" s="58" t="s">
        <v>181</v>
      </c>
      <c r="G27" s="59" t="s">
        <v>168</v>
      </c>
    </row>
    <row r="28">
      <c r="B28" s="56">
        <v>9.0</v>
      </c>
      <c r="C28" s="57" t="s">
        <v>141</v>
      </c>
      <c r="D28" s="58" t="s">
        <v>165</v>
      </c>
      <c r="E28" s="58" t="s">
        <v>180</v>
      </c>
      <c r="F28" s="58" t="s">
        <v>182</v>
      </c>
      <c r="G28" s="59" t="s">
        <v>168</v>
      </c>
    </row>
    <row r="29">
      <c r="B29" s="56">
        <v>10.0</v>
      </c>
      <c r="C29" s="57" t="s">
        <v>147</v>
      </c>
      <c r="D29" s="58" t="s">
        <v>165</v>
      </c>
      <c r="E29" s="58" t="s">
        <v>183</v>
      </c>
      <c r="F29" s="58" t="s">
        <v>184</v>
      </c>
      <c r="G29" s="59" t="s">
        <v>179</v>
      </c>
    </row>
    <row r="30">
      <c r="B30" s="56">
        <v>11.0</v>
      </c>
      <c r="C30" s="57" t="s">
        <v>138</v>
      </c>
      <c r="D30" s="58" t="s">
        <v>185</v>
      </c>
      <c r="E30" s="58" t="s">
        <v>186</v>
      </c>
      <c r="F30" s="58" t="s">
        <v>187</v>
      </c>
      <c r="G30" s="59" t="s">
        <v>179</v>
      </c>
    </row>
    <row r="31">
      <c r="B31" s="56">
        <v>12.0</v>
      </c>
      <c r="C31" s="57" t="s">
        <v>138</v>
      </c>
      <c r="D31" s="58" t="s">
        <v>185</v>
      </c>
      <c r="E31" s="58" t="s">
        <v>186</v>
      </c>
      <c r="F31" s="58" t="s">
        <v>188</v>
      </c>
      <c r="G31" s="59" t="s">
        <v>179</v>
      </c>
    </row>
    <row r="32">
      <c r="B32" s="56">
        <v>13.0</v>
      </c>
      <c r="C32" s="57" t="s">
        <v>138</v>
      </c>
      <c r="D32" s="58" t="s">
        <v>185</v>
      </c>
      <c r="E32" s="58" t="s">
        <v>186</v>
      </c>
      <c r="F32" s="58" t="s">
        <v>189</v>
      </c>
      <c r="G32" s="59" t="s">
        <v>179</v>
      </c>
    </row>
    <row r="33">
      <c r="B33" s="56">
        <v>14.0</v>
      </c>
      <c r="C33" s="57" t="s">
        <v>138</v>
      </c>
      <c r="D33" s="58" t="s">
        <v>185</v>
      </c>
      <c r="E33" s="58" t="s">
        <v>190</v>
      </c>
      <c r="F33" s="58" t="s">
        <v>191</v>
      </c>
      <c r="G33" s="59" t="s">
        <v>57</v>
      </c>
    </row>
    <row r="34">
      <c r="B34" s="56">
        <v>15.0</v>
      </c>
      <c r="C34" s="57" t="s">
        <v>138</v>
      </c>
      <c r="D34" s="58" t="s">
        <v>185</v>
      </c>
      <c r="E34" s="58" t="s">
        <v>190</v>
      </c>
      <c r="F34" s="58" t="s">
        <v>192</v>
      </c>
      <c r="G34" s="59" t="s">
        <v>57</v>
      </c>
    </row>
    <row r="35">
      <c r="B35" s="56">
        <v>16.0</v>
      </c>
      <c r="C35" s="57" t="s">
        <v>138</v>
      </c>
      <c r="D35" s="58" t="s">
        <v>185</v>
      </c>
      <c r="E35" s="58" t="s">
        <v>190</v>
      </c>
      <c r="F35" s="58" t="s">
        <v>193</v>
      </c>
      <c r="G35" s="59" t="s">
        <v>57</v>
      </c>
    </row>
    <row r="36">
      <c r="B36" s="56">
        <v>17.0</v>
      </c>
      <c r="C36" s="57" t="s">
        <v>138</v>
      </c>
      <c r="D36" s="58" t="s">
        <v>185</v>
      </c>
      <c r="E36" s="58" t="s">
        <v>194</v>
      </c>
      <c r="F36" s="58" t="s">
        <v>195</v>
      </c>
      <c r="G36" s="59" t="s">
        <v>168</v>
      </c>
    </row>
    <row r="37">
      <c r="B37" s="56">
        <v>18.0</v>
      </c>
      <c r="C37" s="57" t="s">
        <v>138</v>
      </c>
      <c r="D37" s="58" t="s">
        <v>185</v>
      </c>
      <c r="E37" s="58" t="s">
        <v>194</v>
      </c>
      <c r="F37" s="58" t="s">
        <v>196</v>
      </c>
      <c r="G37" s="59" t="s">
        <v>57</v>
      </c>
    </row>
    <row r="38">
      <c r="B38" s="56">
        <v>19.0</v>
      </c>
      <c r="C38" s="57" t="s">
        <v>138</v>
      </c>
      <c r="D38" s="58" t="s">
        <v>185</v>
      </c>
      <c r="E38" s="58" t="s">
        <v>194</v>
      </c>
      <c r="F38" s="58" t="s">
        <v>197</v>
      </c>
      <c r="G38" s="59" t="s">
        <v>57</v>
      </c>
    </row>
    <row r="39">
      <c r="B39" s="56">
        <v>20.0</v>
      </c>
      <c r="C39" s="57" t="s">
        <v>153</v>
      </c>
      <c r="D39" s="58" t="s">
        <v>198</v>
      </c>
      <c r="E39" s="58" t="s">
        <v>199</v>
      </c>
      <c r="F39" s="58" t="s">
        <v>200</v>
      </c>
      <c r="G39" s="59" t="s">
        <v>168</v>
      </c>
    </row>
    <row r="40">
      <c r="B40" s="56">
        <v>21.0</v>
      </c>
      <c r="C40" s="57" t="s">
        <v>153</v>
      </c>
      <c r="D40" s="58" t="s">
        <v>198</v>
      </c>
      <c r="E40" s="58" t="s">
        <v>199</v>
      </c>
      <c r="F40" s="58" t="s">
        <v>201</v>
      </c>
      <c r="G40" s="59" t="s">
        <v>168</v>
      </c>
    </row>
    <row r="41">
      <c r="B41" s="56">
        <v>22.0</v>
      </c>
      <c r="C41" s="57" t="s">
        <v>153</v>
      </c>
      <c r="D41" s="58" t="s">
        <v>198</v>
      </c>
      <c r="E41" s="58" t="s">
        <v>199</v>
      </c>
      <c r="F41" s="58" t="s">
        <v>202</v>
      </c>
      <c r="G41" s="59" t="s">
        <v>179</v>
      </c>
    </row>
    <row r="42">
      <c r="B42" s="56">
        <v>23.0</v>
      </c>
      <c r="C42" s="57" t="s">
        <v>153</v>
      </c>
      <c r="D42" s="58" t="s">
        <v>198</v>
      </c>
      <c r="E42" s="58" t="s">
        <v>199</v>
      </c>
      <c r="F42" s="59" t="s">
        <v>203</v>
      </c>
      <c r="G42" s="59" t="s">
        <v>57</v>
      </c>
    </row>
    <row r="43">
      <c r="B43" s="56">
        <v>24.0</v>
      </c>
      <c r="C43" s="57" t="s">
        <v>147</v>
      </c>
      <c r="D43" s="58" t="s">
        <v>198</v>
      </c>
      <c r="E43" s="58" t="s">
        <v>169</v>
      </c>
      <c r="F43" s="58" t="s">
        <v>204</v>
      </c>
      <c r="G43" s="59" t="s">
        <v>168</v>
      </c>
    </row>
    <row r="44">
      <c r="B44" s="60">
        <v>25.0</v>
      </c>
      <c r="C44" s="57" t="s">
        <v>147</v>
      </c>
      <c r="D44" s="59" t="s">
        <v>198</v>
      </c>
      <c r="E44" s="59" t="s">
        <v>205</v>
      </c>
      <c r="F44" s="59" t="s">
        <v>206</v>
      </c>
      <c r="G44" s="59" t="s">
        <v>168</v>
      </c>
    </row>
    <row r="45">
      <c r="B45" s="60">
        <v>26.0</v>
      </c>
      <c r="C45" s="57" t="s">
        <v>147</v>
      </c>
      <c r="D45" s="59"/>
      <c r="E45" s="59" t="s">
        <v>207</v>
      </c>
      <c r="F45" s="59" t="s">
        <v>208</v>
      </c>
      <c r="G45" s="59" t="s">
        <v>179</v>
      </c>
    </row>
  </sheetData>
  <dataValidations>
    <dataValidation type="list" allowBlank="1" showErrorMessage="1" sqref="C20:C45">
      <formula1>'要求・要件整理'!$C$6:$C$11</formula1>
    </dataValidation>
    <dataValidation type="list" allowBlank="1" showErrorMessage="1" sqref="G20:G45">
      <formula1>"高,中,低"</formula1>
    </dataValidation>
  </dataValidations>
  <drawing r:id="rId1"/>
  <tableParts count="2">
    <tablePart r:id="rId4"/>
    <tablePart r:id="rId5"/>
  </tableParts>
</worksheet>
</file>